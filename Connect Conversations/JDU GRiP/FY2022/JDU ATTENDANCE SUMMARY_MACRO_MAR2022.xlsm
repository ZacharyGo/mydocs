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6A67530B-4F93-485A-9AEF-0103B9E1A7FC}" xr6:coauthVersionLast="47" xr6:coauthVersionMax="47" xr10:uidLastSave="{00000000-0000-0000-0000-000000000000}"/>
  <workbookProtection workbookAlgorithmName="SHA-512" workbookHashValue="Fr+zXv1e+XVWfy6sNMG6cHDlDJjS34inBhuRYFHFR5P2NeeEFK+qxOl+YVdvX2E1j0GfmpP58OswYUzJKfFdKQ==" workbookSaltValue="gDYbNu0RhjMVGb+fdPKqvA==" workbookSpinCount="100000" lockStructure="1"/>
  <bookViews>
    <workbookView xWindow="-120" yWindow="-120" windowWidth="29040" windowHeight="15840" firstSheet="1" activeTab="1" xr2:uid="{00000000-000D-0000-FFFF-FFFF00000000}"/>
  </bookViews>
  <sheets>
    <sheet name="Report Summary" sheetId="4" state="hidden" r:id="rId1"/>
    <sheet name="Member List" sheetId="1" r:id="rId2"/>
    <sheet name="Validation" sheetId="8" state="hidden" r:id="rId3"/>
    <sheet name="Count Managers" sheetId="9" state="hidden" r:id="rId4"/>
  </sheets>
  <definedNames>
    <definedName name="_xlnm._FilterDatabase" localSheetId="1" hidden="1">'Member List'!$A$1:$P$1786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72" i="1" l="1"/>
  <c r="G1772" i="1" s="1"/>
  <c r="F1761" i="1"/>
  <c r="G1761" i="1" s="1"/>
  <c r="F1759" i="1"/>
  <c r="G1759" i="1" s="1"/>
  <c r="F1754" i="1"/>
  <c r="G1754" i="1" s="1"/>
  <c r="F1753" i="1"/>
  <c r="G1753" i="1" s="1"/>
  <c r="F1752" i="1"/>
  <c r="G1752" i="1" s="1"/>
  <c r="F1750" i="1"/>
  <c r="G1750" i="1" s="1"/>
  <c r="F1726" i="1"/>
  <c r="G1726" i="1" s="1"/>
  <c r="F1725" i="1"/>
  <c r="G1725" i="1" s="1"/>
  <c r="F1718" i="1"/>
  <c r="G1718" i="1" s="1"/>
  <c r="F1717" i="1"/>
  <c r="G1717" i="1" s="1"/>
  <c r="F1716" i="1"/>
  <c r="G1716" i="1" s="1"/>
  <c r="F1703" i="1"/>
  <c r="G1703" i="1" s="1"/>
  <c r="F1702" i="1"/>
  <c r="G1702" i="1" s="1"/>
  <c r="F1701" i="1"/>
  <c r="G1701" i="1" s="1"/>
  <c r="F1700" i="1"/>
  <c r="G1700" i="1" s="1"/>
  <c r="F1699" i="1"/>
  <c r="G1699" i="1" s="1"/>
  <c r="F1698" i="1"/>
  <c r="G1698" i="1" s="1"/>
  <c r="F1697" i="1"/>
  <c r="G1697" i="1" s="1"/>
  <c r="F1696" i="1"/>
  <c r="G1696" i="1" s="1"/>
  <c r="F1694" i="1"/>
  <c r="G1694" i="1" s="1"/>
  <c r="F1692" i="1"/>
  <c r="G1692" i="1" s="1"/>
  <c r="F1691" i="1"/>
  <c r="G1691" i="1" s="1"/>
  <c r="F1690" i="1"/>
  <c r="G1690" i="1" s="1"/>
  <c r="F1689" i="1"/>
  <c r="G1689" i="1" s="1"/>
  <c r="F1688" i="1"/>
  <c r="G1688" i="1" s="1"/>
  <c r="F1687" i="1"/>
  <c r="G1687" i="1" s="1"/>
  <c r="F1685" i="1"/>
  <c r="G1685" i="1" s="1"/>
  <c r="F1684" i="1"/>
  <c r="G1684" i="1" s="1"/>
  <c r="F1683" i="1"/>
  <c r="G1683" i="1" s="1"/>
  <c r="F1678" i="1"/>
  <c r="G1678" i="1" s="1"/>
  <c r="F1677" i="1"/>
  <c r="G1677" i="1" s="1"/>
  <c r="F1676" i="1"/>
  <c r="G1676" i="1" s="1"/>
  <c r="F1675" i="1"/>
  <c r="G1675" i="1" s="1"/>
  <c r="F1674" i="1"/>
  <c r="G1674" i="1" s="1"/>
  <c r="F1673" i="1"/>
  <c r="G1673" i="1" s="1"/>
  <c r="F1671" i="1"/>
  <c r="G1671" i="1" s="1"/>
  <c r="F1670" i="1"/>
  <c r="G1670" i="1" s="1"/>
  <c r="F1669" i="1"/>
  <c r="G1669" i="1" s="1"/>
  <c r="F1667" i="1"/>
  <c r="G1667" i="1" s="1"/>
  <c r="F1666" i="1"/>
  <c r="G1666" i="1" s="1"/>
  <c r="F1658" i="1"/>
  <c r="G1658" i="1" s="1"/>
  <c r="F1653" i="1"/>
  <c r="G1653" i="1" s="1"/>
  <c r="F1646" i="1"/>
  <c r="G1646" i="1" s="1"/>
  <c r="F1644" i="1"/>
  <c r="G1644" i="1" s="1"/>
  <c r="F1641" i="1"/>
  <c r="G1641" i="1" s="1"/>
  <c r="F1640" i="1"/>
  <c r="G1640" i="1" s="1"/>
  <c r="F1639" i="1"/>
  <c r="G1639" i="1" s="1"/>
  <c r="F1637" i="1"/>
  <c r="G1637" i="1" s="1"/>
  <c r="F1636" i="1"/>
  <c r="G1636" i="1" s="1"/>
  <c r="F1635" i="1"/>
  <c r="G1635" i="1" s="1"/>
  <c r="F1628" i="1"/>
  <c r="G1628" i="1" s="1"/>
  <c r="F1627" i="1"/>
  <c r="G1627" i="1" s="1"/>
  <c r="F1626" i="1"/>
  <c r="G1626" i="1" s="1"/>
  <c r="F1625" i="1"/>
  <c r="G1625" i="1" s="1"/>
  <c r="F1624" i="1"/>
  <c r="G1624" i="1" s="1"/>
  <c r="F1616" i="1"/>
  <c r="G1616" i="1" s="1"/>
  <c r="F1615" i="1"/>
  <c r="G1615" i="1" s="1"/>
  <c r="F1614" i="1"/>
  <c r="G1614" i="1" s="1"/>
  <c r="F1611" i="1"/>
  <c r="G1611" i="1" s="1"/>
  <c r="F1610" i="1"/>
  <c r="G1610" i="1" s="1"/>
  <c r="F1609" i="1"/>
  <c r="G1609" i="1" s="1"/>
  <c r="F1608" i="1"/>
  <c r="G1608" i="1" s="1"/>
  <c r="F1607" i="1"/>
  <c r="G1607" i="1" s="1"/>
  <c r="F1606" i="1"/>
  <c r="G1606" i="1" s="1"/>
  <c r="F1605" i="1"/>
  <c r="G1605" i="1" s="1"/>
  <c r="F1601" i="1"/>
  <c r="G1601" i="1" s="1"/>
  <c r="F1600" i="1"/>
  <c r="G1600" i="1" s="1"/>
  <c r="F1579" i="1"/>
  <c r="G1579" i="1" s="1"/>
  <c r="F1578" i="1"/>
  <c r="G1578" i="1" s="1"/>
  <c r="F1577" i="1"/>
  <c r="G1577" i="1" s="1"/>
  <c r="F1576" i="1"/>
  <c r="G1576" i="1" s="1"/>
  <c r="F1575" i="1"/>
  <c r="G1575" i="1" s="1"/>
  <c r="F1574" i="1"/>
  <c r="G1574" i="1" s="1"/>
  <c r="F1573" i="1"/>
  <c r="G1573" i="1" s="1"/>
  <c r="F1572" i="1"/>
  <c r="G1572" i="1" s="1"/>
  <c r="F1571" i="1"/>
  <c r="G1571" i="1" s="1"/>
  <c r="F1570" i="1"/>
  <c r="G1570" i="1" s="1"/>
  <c r="F1569" i="1"/>
  <c r="G1569" i="1" s="1"/>
  <c r="F1568" i="1"/>
  <c r="G1568" i="1" s="1"/>
  <c r="F1558" i="1"/>
  <c r="G1558" i="1" s="1"/>
  <c r="F1557" i="1"/>
  <c r="G1557" i="1" s="1"/>
  <c r="F1556" i="1"/>
  <c r="G1556" i="1" s="1"/>
  <c r="F1555" i="1"/>
  <c r="G1555" i="1" s="1"/>
  <c r="F1554" i="1"/>
  <c r="G1554" i="1" s="1"/>
  <c r="F1553" i="1"/>
  <c r="G1553" i="1" s="1"/>
  <c r="F1552" i="1"/>
  <c r="G1552" i="1" s="1"/>
  <c r="F1551" i="1"/>
  <c r="G1551" i="1" s="1"/>
  <c r="F1550" i="1"/>
  <c r="G1550" i="1" s="1"/>
  <c r="F1548" i="1"/>
  <c r="G1548" i="1" s="1"/>
  <c r="F1547" i="1"/>
  <c r="G1547" i="1" s="1"/>
  <c r="F1546" i="1"/>
  <c r="G1546" i="1" s="1"/>
  <c r="F1545" i="1"/>
  <c r="G1545" i="1" s="1"/>
  <c r="F1542" i="1"/>
  <c r="G1542" i="1" s="1"/>
  <c r="F1539" i="1"/>
  <c r="G1539" i="1" s="1"/>
  <c r="F1537" i="1"/>
  <c r="G1537" i="1" s="1"/>
  <c r="F1536" i="1"/>
  <c r="G1536" i="1" s="1"/>
  <c r="F1535" i="1"/>
  <c r="G1535" i="1" s="1"/>
  <c r="F1534" i="1"/>
  <c r="G1534" i="1" s="1"/>
  <c r="F1528" i="1"/>
  <c r="G1528" i="1" s="1"/>
  <c r="F1526" i="1"/>
  <c r="G1526" i="1" s="1"/>
  <c r="F1525" i="1"/>
  <c r="G1525" i="1" s="1"/>
  <c r="F1521" i="1"/>
  <c r="G1521" i="1" s="1"/>
  <c r="F1520" i="1"/>
  <c r="G1520" i="1" s="1"/>
  <c r="F1519" i="1"/>
  <c r="G1519" i="1" s="1"/>
  <c r="F1505" i="1"/>
  <c r="G1505" i="1" s="1"/>
  <c r="F1501" i="1"/>
  <c r="G1501" i="1" s="1"/>
  <c r="F1500" i="1"/>
  <c r="G1500" i="1" s="1"/>
  <c r="F1499" i="1"/>
  <c r="G1499" i="1" s="1"/>
  <c r="F1498" i="1"/>
  <c r="G1498" i="1" s="1"/>
  <c r="F1497" i="1"/>
  <c r="G1497" i="1" s="1"/>
  <c r="F1496" i="1"/>
  <c r="G1496" i="1" s="1"/>
  <c r="F1495" i="1"/>
  <c r="G1495" i="1" s="1"/>
  <c r="F1494" i="1"/>
  <c r="G1494" i="1" s="1"/>
  <c r="F1493" i="1"/>
  <c r="G1493" i="1" s="1"/>
  <c r="F1487" i="1"/>
  <c r="G1487" i="1" s="1"/>
  <c r="F1486" i="1"/>
  <c r="G1486" i="1" s="1"/>
  <c r="F1481" i="1"/>
  <c r="G1481" i="1" s="1"/>
  <c r="F1480" i="1"/>
  <c r="G1480" i="1" s="1"/>
  <c r="F1479" i="1"/>
  <c r="G1479" i="1" s="1"/>
  <c r="F1473" i="1"/>
  <c r="G1473" i="1" s="1"/>
  <c r="F1472" i="1"/>
  <c r="G1472" i="1" s="1"/>
  <c r="F1471" i="1"/>
  <c r="G1471" i="1" s="1"/>
  <c r="F1469" i="1"/>
  <c r="G1469" i="1" s="1"/>
  <c r="F1468" i="1"/>
  <c r="G1468" i="1" s="1"/>
  <c r="F1467" i="1"/>
  <c r="G1467" i="1" s="1"/>
  <c r="F1465" i="1"/>
  <c r="G1465" i="1" s="1"/>
  <c r="F1464" i="1"/>
  <c r="G1464" i="1" s="1"/>
  <c r="F1462" i="1"/>
  <c r="G1462" i="1" s="1"/>
  <c r="F1452" i="1"/>
  <c r="G1452" i="1" s="1"/>
  <c r="F1451" i="1"/>
  <c r="G1451" i="1" s="1"/>
  <c r="F1450" i="1"/>
  <c r="G1450" i="1" s="1"/>
  <c r="F1449" i="1"/>
  <c r="G1449" i="1" s="1"/>
  <c r="F1448" i="1"/>
  <c r="G1448" i="1" s="1"/>
  <c r="F1447" i="1"/>
  <c r="G1447" i="1" s="1"/>
  <c r="F1446" i="1"/>
  <c r="G1446" i="1" s="1"/>
  <c r="F1445" i="1"/>
  <c r="G1445" i="1" s="1"/>
  <c r="F1444" i="1"/>
  <c r="G1444" i="1" s="1"/>
  <c r="F1443" i="1"/>
  <c r="G1443" i="1" s="1"/>
  <c r="F1442" i="1"/>
  <c r="G1442" i="1" s="1"/>
  <c r="F1441" i="1"/>
  <c r="G1441" i="1" s="1"/>
  <c r="F1440" i="1"/>
  <c r="G1440" i="1" s="1"/>
  <c r="F1439" i="1"/>
  <c r="G1439" i="1" s="1"/>
  <c r="F1438" i="1"/>
  <c r="G1438" i="1" s="1"/>
  <c r="F1437" i="1"/>
  <c r="G1437" i="1" s="1"/>
  <c r="F1436" i="1"/>
  <c r="G1436" i="1" s="1"/>
  <c r="F1423" i="1"/>
  <c r="G1423" i="1" s="1"/>
  <c r="F1421" i="1"/>
  <c r="G1421" i="1" s="1"/>
  <c r="F1418" i="1"/>
  <c r="G1418" i="1" s="1"/>
  <c r="F1417" i="1"/>
  <c r="G1417" i="1" s="1"/>
  <c r="F1416" i="1"/>
  <c r="G1416" i="1" s="1"/>
  <c r="F1414" i="1"/>
  <c r="G1414" i="1" s="1"/>
  <c r="F1399" i="1"/>
  <c r="G1399" i="1" s="1"/>
  <c r="F1398" i="1"/>
  <c r="G1398" i="1" s="1"/>
  <c r="F1397" i="1"/>
  <c r="G1397" i="1" s="1"/>
  <c r="F1396" i="1"/>
  <c r="G1396" i="1" s="1"/>
  <c r="F1395" i="1"/>
  <c r="G1395" i="1" s="1"/>
  <c r="F1394" i="1"/>
  <c r="G1394" i="1" s="1"/>
  <c r="F1393" i="1"/>
  <c r="G1393" i="1" s="1"/>
  <c r="F1390" i="1"/>
  <c r="G1390" i="1" s="1"/>
  <c r="F1389" i="1"/>
  <c r="G1389" i="1" s="1"/>
  <c r="F1387" i="1"/>
  <c r="G1387" i="1" s="1"/>
  <c r="F1386" i="1"/>
  <c r="G1386" i="1" s="1"/>
  <c r="F1385" i="1"/>
  <c r="G1385" i="1" s="1"/>
  <c r="F1384" i="1"/>
  <c r="G1384" i="1" s="1"/>
  <c r="F1383" i="1"/>
  <c r="G1383" i="1" s="1"/>
  <c r="F1382" i="1"/>
  <c r="G1382" i="1" s="1"/>
  <c r="F1381" i="1"/>
  <c r="G1381" i="1" s="1"/>
  <c r="F1379" i="1"/>
  <c r="G1379" i="1" s="1"/>
  <c r="F1378" i="1"/>
  <c r="G1378" i="1" s="1"/>
  <c r="F1377" i="1"/>
  <c r="G1377" i="1" s="1"/>
  <c r="F1376" i="1"/>
  <c r="G1376" i="1" s="1"/>
  <c r="F1375" i="1"/>
  <c r="G1375" i="1" s="1"/>
  <c r="F1374" i="1"/>
  <c r="G1374" i="1" s="1"/>
  <c r="F1373" i="1"/>
  <c r="G1373" i="1" s="1"/>
  <c r="F1371" i="1"/>
  <c r="G1371" i="1" s="1"/>
  <c r="F1370" i="1"/>
  <c r="G1370" i="1" s="1"/>
  <c r="F1369" i="1"/>
  <c r="G1369" i="1" s="1"/>
  <c r="F1368" i="1"/>
  <c r="G1368" i="1" s="1"/>
  <c r="F1367" i="1"/>
  <c r="G1367" i="1" s="1"/>
  <c r="F1365" i="1"/>
  <c r="G1365" i="1" s="1"/>
  <c r="F1361" i="1"/>
  <c r="G1361" i="1" s="1"/>
  <c r="F1360" i="1"/>
  <c r="G1360" i="1" s="1"/>
  <c r="F1359" i="1"/>
  <c r="G1359" i="1" s="1"/>
  <c r="F1355" i="1"/>
  <c r="G1355" i="1" s="1"/>
  <c r="F1354" i="1"/>
  <c r="G1354" i="1" s="1"/>
  <c r="F1352" i="1"/>
  <c r="G1352" i="1" s="1"/>
  <c r="F1351" i="1"/>
  <c r="G1351" i="1" s="1"/>
  <c r="F1350" i="1"/>
  <c r="G1350" i="1" s="1"/>
  <c r="F1346" i="1"/>
  <c r="G1346" i="1" s="1"/>
  <c r="F1345" i="1"/>
  <c r="G1345" i="1" s="1"/>
  <c r="F1344" i="1"/>
  <c r="G1344" i="1" s="1"/>
  <c r="F1343" i="1"/>
  <c r="G1343" i="1" s="1"/>
  <c r="F1341" i="1"/>
  <c r="G1341" i="1" s="1"/>
  <c r="F1329" i="1"/>
  <c r="G1329" i="1" s="1"/>
  <c r="F1328" i="1"/>
  <c r="G1328" i="1" s="1"/>
  <c r="F1326" i="1"/>
  <c r="G1326" i="1" s="1"/>
  <c r="F1319" i="1"/>
  <c r="G1319" i="1" s="1"/>
  <c r="F1316" i="1"/>
  <c r="G1316" i="1" s="1"/>
  <c r="F1314" i="1"/>
  <c r="G1314" i="1" s="1"/>
  <c r="F1312" i="1"/>
  <c r="G1312" i="1" s="1"/>
  <c r="F1310" i="1"/>
  <c r="G1310" i="1" s="1"/>
  <c r="F1308" i="1"/>
  <c r="G1308" i="1" s="1"/>
  <c r="F1306" i="1"/>
  <c r="G1306" i="1" s="1"/>
  <c r="F1305" i="1"/>
  <c r="G1305" i="1" s="1"/>
  <c r="F1303" i="1"/>
  <c r="G1303" i="1" s="1"/>
  <c r="F1301" i="1"/>
  <c r="G1301" i="1" s="1"/>
  <c r="F1300" i="1"/>
  <c r="G1300" i="1" s="1"/>
  <c r="F1299" i="1"/>
  <c r="G1299" i="1" s="1"/>
  <c r="F1298" i="1"/>
  <c r="G1298" i="1" s="1"/>
  <c r="F1297" i="1"/>
  <c r="G1297" i="1" s="1"/>
  <c r="F1296" i="1"/>
  <c r="G1296" i="1" s="1"/>
  <c r="F1295" i="1"/>
  <c r="G1295" i="1" s="1"/>
  <c r="F1294" i="1"/>
  <c r="G1294" i="1" s="1"/>
  <c r="F1293" i="1"/>
  <c r="G1293" i="1" s="1"/>
  <c r="F1292" i="1"/>
  <c r="G1292" i="1" s="1"/>
  <c r="F1291" i="1"/>
  <c r="G1291" i="1" s="1"/>
  <c r="F1290" i="1"/>
  <c r="G1290" i="1" s="1"/>
  <c r="F1289" i="1"/>
  <c r="G1289" i="1" s="1"/>
  <c r="F1288" i="1"/>
  <c r="G1288" i="1" s="1"/>
  <c r="F1286" i="1"/>
  <c r="G1286" i="1" s="1"/>
  <c r="F1285" i="1"/>
  <c r="G1285" i="1" s="1"/>
  <c r="F1284" i="1"/>
  <c r="G1284" i="1" s="1"/>
  <c r="F1283" i="1"/>
  <c r="G1283" i="1" s="1"/>
  <c r="F1282" i="1"/>
  <c r="G1282" i="1" s="1"/>
  <c r="F1281" i="1"/>
  <c r="G1281" i="1" s="1"/>
  <c r="F1280" i="1"/>
  <c r="G1280" i="1" s="1"/>
  <c r="F1279" i="1"/>
  <c r="G1279" i="1" s="1"/>
  <c r="F1278" i="1"/>
  <c r="G1278" i="1" s="1"/>
  <c r="F1275" i="1"/>
  <c r="G1275" i="1" s="1"/>
  <c r="F1274" i="1"/>
  <c r="G1274" i="1" s="1"/>
  <c r="F1273" i="1"/>
  <c r="G1273" i="1" s="1"/>
  <c r="F1272" i="1"/>
  <c r="G1272" i="1" s="1"/>
  <c r="F1270" i="1"/>
  <c r="G1270" i="1" s="1"/>
  <c r="F1269" i="1"/>
  <c r="G1269" i="1" s="1"/>
  <c r="F1268" i="1"/>
  <c r="G1268" i="1" s="1"/>
  <c r="F1267" i="1"/>
  <c r="G1267" i="1" s="1"/>
  <c r="F1266" i="1"/>
  <c r="G1266" i="1" s="1"/>
  <c r="F1265" i="1"/>
  <c r="G1265" i="1" s="1"/>
  <c r="F1264" i="1"/>
  <c r="G1264" i="1" s="1"/>
  <c r="F1263" i="1"/>
  <c r="G1263" i="1" s="1"/>
  <c r="F1262" i="1"/>
  <c r="G1262" i="1" s="1"/>
  <c r="F1261" i="1"/>
  <c r="G1261" i="1" s="1"/>
  <c r="F1260" i="1"/>
  <c r="G1260" i="1" s="1"/>
  <c r="F1259" i="1"/>
  <c r="G1259" i="1" s="1"/>
  <c r="F1258" i="1"/>
  <c r="G1258" i="1" s="1"/>
  <c r="F1256" i="1"/>
  <c r="G1256" i="1" s="1"/>
  <c r="F1255" i="1"/>
  <c r="G1255" i="1" s="1"/>
  <c r="F1254" i="1"/>
  <c r="G1254" i="1" s="1"/>
  <c r="F1253" i="1"/>
  <c r="G1253" i="1" s="1"/>
  <c r="F1252" i="1"/>
  <c r="G1252" i="1" s="1"/>
  <c r="F1251" i="1"/>
  <c r="G1251" i="1" s="1"/>
  <c r="F1247" i="1"/>
  <c r="G1247" i="1" s="1"/>
  <c r="F1242" i="1"/>
  <c r="G1242" i="1" s="1"/>
  <c r="F1240" i="1"/>
  <c r="G1240" i="1" s="1"/>
  <c r="F1239" i="1"/>
  <c r="G1239" i="1" s="1"/>
  <c r="F1238" i="1"/>
  <c r="G1238" i="1" s="1"/>
  <c r="F1237" i="1"/>
  <c r="G1237" i="1" s="1"/>
  <c r="F1236" i="1"/>
  <c r="G1236" i="1" s="1"/>
  <c r="F1235" i="1"/>
  <c r="G1235" i="1" s="1"/>
  <c r="F1234" i="1"/>
  <c r="G1234" i="1" s="1"/>
  <c r="F1233" i="1"/>
  <c r="G1233" i="1" s="1"/>
  <c r="F1232" i="1"/>
  <c r="G1232" i="1" s="1"/>
  <c r="F1229" i="1"/>
  <c r="G1229" i="1" s="1"/>
  <c r="F1228" i="1"/>
  <c r="G1228" i="1" s="1"/>
  <c r="F1227" i="1"/>
  <c r="G1227" i="1" s="1"/>
  <c r="F1225" i="1"/>
  <c r="G1225" i="1" s="1"/>
  <c r="F1213" i="1"/>
  <c r="G1213" i="1" s="1"/>
  <c r="F1212" i="1"/>
  <c r="G1212" i="1" s="1"/>
  <c r="F1211" i="1"/>
  <c r="G1211" i="1" s="1"/>
  <c r="F1209" i="1"/>
  <c r="G1209" i="1" s="1"/>
  <c r="F1203" i="1"/>
  <c r="G1203" i="1" s="1"/>
  <c r="F1202" i="1"/>
  <c r="G1202" i="1" s="1"/>
  <c r="F1201" i="1"/>
  <c r="G1201" i="1" s="1"/>
  <c r="F1199" i="1"/>
  <c r="G1199" i="1" s="1"/>
  <c r="F1198" i="1"/>
  <c r="G1198" i="1" s="1"/>
  <c r="F1197" i="1"/>
  <c r="G1197" i="1" s="1"/>
  <c r="F1196" i="1"/>
  <c r="G1196" i="1" s="1"/>
  <c r="F1195" i="1"/>
  <c r="G1195" i="1" s="1"/>
  <c r="F1194" i="1"/>
  <c r="G1194" i="1" s="1"/>
  <c r="F1193" i="1"/>
  <c r="G1193" i="1" s="1"/>
  <c r="F1192" i="1"/>
  <c r="G1192" i="1" s="1"/>
  <c r="F1191" i="1"/>
  <c r="G1191" i="1" s="1"/>
  <c r="F1190" i="1"/>
  <c r="G1190" i="1" s="1"/>
  <c r="F1189" i="1"/>
  <c r="G1189" i="1" s="1"/>
  <c r="F1188" i="1"/>
  <c r="G1188" i="1" s="1"/>
  <c r="F1187" i="1"/>
  <c r="G1187" i="1" s="1"/>
  <c r="F1185" i="1"/>
  <c r="G1185" i="1" s="1"/>
  <c r="F1182" i="1"/>
  <c r="G1182" i="1" s="1"/>
  <c r="F1181" i="1"/>
  <c r="G1181" i="1" s="1"/>
  <c r="F1180" i="1"/>
  <c r="G1180" i="1" s="1"/>
  <c r="F1179" i="1"/>
  <c r="G1179" i="1" s="1"/>
  <c r="F1178" i="1"/>
  <c r="G1178" i="1" s="1"/>
  <c r="F1177" i="1"/>
  <c r="G1177" i="1" s="1"/>
  <c r="F1175" i="1"/>
  <c r="G1175" i="1" s="1"/>
  <c r="F1174" i="1"/>
  <c r="G1174" i="1" s="1"/>
  <c r="F1173" i="1"/>
  <c r="G1173" i="1" s="1"/>
  <c r="F1172" i="1"/>
  <c r="G1172" i="1" s="1"/>
  <c r="F1171" i="1"/>
  <c r="G1171" i="1" s="1"/>
  <c r="F1170" i="1"/>
  <c r="G1170" i="1" s="1"/>
  <c r="F1169" i="1"/>
  <c r="G1169" i="1" s="1"/>
  <c r="F1168" i="1"/>
  <c r="G1168" i="1" s="1"/>
  <c r="F1167" i="1"/>
  <c r="G1167" i="1" s="1"/>
  <c r="F1164" i="1"/>
  <c r="G1164" i="1" s="1"/>
  <c r="F1163" i="1"/>
  <c r="G1163" i="1" s="1"/>
  <c r="F1162" i="1"/>
  <c r="G1162" i="1" s="1"/>
  <c r="F1161" i="1"/>
  <c r="G1161" i="1" s="1"/>
  <c r="F1160" i="1"/>
  <c r="G1160" i="1" s="1"/>
  <c r="F1159" i="1"/>
  <c r="G1159" i="1" s="1"/>
  <c r="F1158" i="1"/>
  <c r="G1158" i="1" s="1"/>
  <c r="F1157" i="1"/>
  <c r="G1157" i="1" s="1"/>
  <c r="F1155" i="1"/>
  <c r="G1155" i="1" s="1"/>
  <c r="F1154" i="1"/>
  <c r="G1154" i="1" s="1"/>
  <c r="F1153" i="1"/>
  <c r="G1153" i="1" s="1"/>
  <c r="F1152" i="1"/>
  <c r="G1152" i="1" s="1"/>
  <c r="F1151" i="1"/>
  <c r="G1151" i="1" s="1"/>
  <c r="F1150" i="1"/>
  <c r="G1150" i="1" s="1"/>
  <c r="F1149" i="1"/>
  <c r="G1149" i="1" s="1"/>
  <c r="F1148" i="1"/>
  <c r="G1148" i="1" s="1"/>
  <c r="F1147" i="1"/>
  <c r="G1147" i="1" s="1"/>
  <c r="F1146" i="1"/>
  <c r="G1146" i="1" s="1"/>
  <c r="F1144" i="1"/>
  <c r="G1144" i="1" s="1"/>
  <c r="F1143" i="1"/>
  <c r="G1143" i="1" s="1"/>
  <c r="F1142" i="1"/>
  <c r="G1142" i="1" s="1"/>
  <c r="F1141" i="1"/>
  <c r="G1141" i="1" s="1"/>
  <c r="F1140" i="1"/>
  <c r="G1140" i="1" s="1"/>
  <c r="F1139" i="1"/>
  <c r="G1139" i="1" s="1"/>
  <c r="F1138" i="1"/>
  <c r="G1138" i="1" s="1"/>
  <c r="F1137" i="1"/>
  <c r="G1137" i="1" s="1"/>
  <c r="F1136" i="1"/>
  <c r="G1136" i="1" s="1"/>
  <c r="F1135" i="1"/>
  <c r="G1135" i="1" s="1"/>
  <c r="F1134" i="1"/>
  <c r="G1134" i="1" s="1"/>
  <c r="F1133" i="1"/>
  <c r="G1133" i="1" s="1"/>
  <c r="F1132" i="1"/>
  <c r="G1132" i="1" s="1"/>
  <c r="F1131" i="1"/>
  <c r="G1131" i="1" s="1"/>
  <c r="F1130" i="1"/>
  <c r="G1130" i="1" s="1"/>
  <c r="F1128" i="1"/>
  <c r="G1128" i="1" s="1"/>
  <c r="F1126" i="1"/>
  <c r="G1126" i="1" s="1"/>
  <c r="F1125" i="1"/>
  <c r="G1125" i="1" s="1"/>
  <c r="F1124" i="1"/>
  <c r="G1124" i="1" s="1"/>
  <c r="F1123" i="1"/>
  <c r="G1123" i="1" s="1"/>
  <c r="F1122" i="1"/>
  <c r="G1122" i="1" s="1"/>
  <c r="F1121" i="1"/>
  <c r="G1121" i="1" s="1"/>
  <c r="F1120" i="1"/>
  <c r="G1120" i="1" s="1"/>
  <c r="F1119" i="1"/>
  <c r="G1119" i="1" s="1"/>
  <c r="F1118" i="1"/>
  <c r="G1118" i="1" s="1"/>
  <c r="F1117" i="1"/>
  <c r="G1117" i="1" s="1"/>
  <c r="F1116" i="1"/>
  <c r="G1116" i="1" s="1"/>
  <c r="F1114" i="1"/>
  <c r="G1114" i="1" s="1"/>
  <c r="F1113" i="1"/>
  <c r="G1113" i="1" s="1"/>
  <c r="F1112" i="1"/>
  <c r="G1112" i="1" s="1"/>
  <c r="F1111" i="1"/>
  <c r="G1111" i="1" s="1"/>
  <c r="F1110" i="1"/>
  <c r="G1110" i="1" s="1"/>
  <c r="F1109" i="1"/>
  <c r="G1109" i="1" s="1"/>
  <c r="F1107" i="1"/>
  <c r="G1107" i="1" s="1"/>
  <c r="F1106" i="1"/>
  <c r="G1106" i="1" s="1"/>
  <c r="F1105" i="1"/>
  <c r="G1105" i="1" s="1"/>
  <c r="F1104" i="1"/>
  <c r="G1104" i="1" s="1"/>
  <c r="F1103" i="1"/>
  <c r="G1103" i="1" s="1"/>
  <c r="F1102" i="1"/>
  <c r="G1102" i="1" s="1"/>
  <c r="F1101" i="1"/>
  <c r="G1101" i="1" s="1"/>
  <c r="F1100" i="1"/>
  <c r="G1100" i="1" s="1"/>
  <c r="F1099" i="1"/>
  <c r="G1099" i="1" s="1"/>
  <c r="F1098" i="1"/>
  <c r="G1098" i="1" s="1"/>
  <c r="F1097" i="1"/>
  <c r="G1097" i="1" s="1"/>
  <c r="F1096" i="1"/>
  <c r="G1096" i="1" s="1"/>
  <c r="F1095" i="1"/>
  <c r="G1095" i="1" s="1"/>
  <c r="F1094" i="1"/>
  <c r="G1094" i="1" s="1"/>
  <c r="F1093" i="1"/>
  <c r="G1093" i="1" s="1"/>
  <c r="F1092" i="1"/>
  <c r="G1092" i="1" s="1"/>
  <c r="F1090" i="1"/>
  <c r="G1090" i="1" s="1"/>
  <c r="F1089" i="1"/>
  <c r="G1089" i="1" s="1"/>
  <c r="F1088" i="1"/>
  <c r="G1088" i="1" s="1"/>
  <c r="F1087" i="1"/>
  <c r="G1087" i="1" s="1"/>
  <c r="F1086" i="1"/>
  <c r="G1086" i="1" s="1"/>
  <c r="F1085" i="1"/>
  <c r="G1085" i="1" s="1"/>
  <c r="F1083" i="1"/>
  <c r="G1083" i="1" s="1"/>
  <c r="F1082" i="1"/>
  <c r="G1082" i="1" s="1"/>
  <c r="F1081" i="1"/>
  <c r="G1081" i="1" s="1"/>
  <c r="F1080" i="1"/>
  <c r="G1080" i="1" s="1"/>
  <c r="F1079" i="1"/>
  <c r="G1079" i="1" s="1"/>
  <c r="F1078" i="1"/>
  <c r="G1078" i="1" s="1"/>
  <c r="F1077" i="1"/>
  <c r="G1077" i="1" s="1"/>
  <c r="F1076" i="1"/>
  <c r="G1076" i="1" s="1"/>
  <c r="F1075" i="1"/>
  <c r="G1075" i="1" s="1"/>
  <c r="F1074" i="1"/>
  <c r="G1074" i="1" s="1"/>
  <c r="F1073" i="1"/>
  <c r="G1073" i="1" s="1"/>
  <c r="F1072" i="1"/>
  <c r="G1072" i="1" s="1"/>
  <c r="F1071" i="1"/>
  <c r="G1071" i="1" s="1"/>
  <c r="F1070" i="1"/>
  <c r="G1070" i="1" s="1"/>
  <c r="F1069" i="1"/>
  <c r="G1069" i="1" s="1"/>
  <c r="F1067" i="1"/>
  <c r="G1067" i="1" s="1"/>
  <c r="F1066" i="1"/>
  <c r="G1066" i="1" s="1"/>
  <c r="F1065" i="1"/>
  <c r="G1065" i="1" s="1"/>
  <c r="F1064" i="1"/>
  <c r="G1064" i="1" s="1"/>
  <c r="F1063" i="1"/>
  <c r="G1063" i="1" s="1"/>
  <c r="F1062" i="1"/>
  <c r="G1062" i="1" s="1"/>
  <c r="F1061" i="1"/>
  <c r="G1061" i="1" s="1"/>
  <c r="F1060" i="1"/>
  <c r="G1060" i="1" s="1"/>
  <c r="F1059" i="1"/>
  <c r="G1059" i="1" s="1"/>
  <c r="F1058" i="1"/>
  <c r="G1058" i="1" s="1"/>
  <c r="F1056" i="1"/>
  <c r="G1056" i="1" s="1"/>
  <c r="F1054" i="1"/>
  <c r="G1054" i="1" s="1"/>
  <c r="F1052" i="1"/>
  <c r="G1052" i="1" s="1"/>
  <c r="F1051" i="1"/>
  <c r="G1051" i="1" s="1"/>
  <c r="F1050" i="1"/>
  <c r="G1050" i="1" s="1"/>
  <c r="F1049" i="1"/>
  <c r="G1049" i="1" s="1"/>
  <c r="F1048" i="1"/>
  <c r="G1048" i="1" s="1"/>
  <c r="F1047" i="1"/>
  <c r="G1047" i="1" s="1"/>
  <c r="F1046" i="1"/>
  <c r="G1046" i="1" s="1"/>
  <c r="F1045" i="1"/>
  <c r="G1045" i="1" s="1"/>
  <c r="F1044" i="1"/>
  <c r="G1044" i="1" s="1"/>
  <c r="F1043" i="1"/>
  <c r="G1043" i="1" s="1"/>
  <c r="F1042" i="1"/>
  <c r="G1042" i="1" s="1"/>
  <c r="F1041" i="1"/>
  <c r="G1041" i="1" s="1"/>
  <c r="F1039" i="1"/>
  <c r="G1039" i="1" s="1"/>
  <c r="F1038" i="1"/>
  <c r="G1038" i="1" s="1"/>
  <c r="F1037" i="1"/>
  <c r="G1037" i="1" s="1"/>
  <c r="F1036" i="1"/>
  <c r="G1036" i="1" s="1"/>
  <c r="F1035" i="1"/>
  <c r="G1035" i="1" s="1"/>
  <c r="F1034" i="1"/>
  <c r="G1034" i="1" s="1"/>
  <c r="F1033" i="1"/>
  <c r="G1033" i="1" s="1"/>
  <c r="F1032" i="1"/>
  <c r="G1032" i="1" s="1"/>
  <c r="F1031" i="1"/>
  <c r="G1031" i="1" s="1"/>
  <c r="F1029" i="1"/>
  <c r="G1029" i="1" s="1"/>
  <c r="F1028" i="1"/>
  <c r="G1028" i="1" s="1"/>
  <c r="F1027" i="1"/>
  <c r="G1027" i="1" s="1"/>
  <c r="F1024" i="1"/>
  <c r="G1024" i="1" s="1"/>
  <c r="F1022" i="1"/>
  <c r="G1022" i="1" s="1"/>
  <c r="F1021" i="1"/>
  <c r="G1021" i="1" s="1"/>
  <c r="F1020" i="1"/>
  <c r="G1020" i="1" s="1"/>
  <c r="F1019" i="1"/>
  <c r="G1019" i="1" s="1"/>
  <c r="F1018" i="1"/>
  <c r="G1018" i="1" s="1"/>
  <c r="F1016" i="1"/>
  <c r="G1016" i="1" s="1"/>
  <c r="F1015" i="1"/>
  <c r="G1015" i="1" s="1"/>
  <c r="F1014" i="1"/>
  <c r="G1014" i="1" s="1"/>
  <c r="F1013" i="1"/>
  <c r="G1013" i="1" s="1"/>
  <c r="F1012" i="1"/>
  <c r="G1012" i="1" s="1"/>
  <c r="F1011" i="1"/>
  <c r="G1011" i="1" s="1"/>
  <c r="F1010" i="1"/>
  <c r="G1010" i="1" s="1"/>
  <c r="F1008" i="1"/>
  <c r="G1008" i="1" s="1"/>
  <c r="F1007" i="1"/>
  <c r="G1007" i="1" s="1"/>
  <c r="F1005" i="1"/>
  <c r="G1005" i="1" s="1"/>
  <c r="F1004" i="1"/>
  <c r="G1004" i="1" s="1"/>
  <c r="F1003" i="1"/>
  <c r="G1003" i="1" s="1"/>
  <c r="F1002" i="1"/>
  <c r="G1002" i="1" s="1"/>
  <c r="F1001" i="1"/>
  <c r="G1001" i="1" s="1"/>
  <c r="F1000" i="1"/>
  <c r="G1000" i="1" s="1"/>
  <c r="F999" i="1"/>
  <c r="G999" i="1" s="1"/>
  <c r="F997" i="1"/>
  <c r="G997" i="1" s="1"/>
  <c r="F996" i="1"/>
  <c r="G996" i="1" s="1"/>
  <c r="F995" i="1"/>
  <c r="G995" i="1" s="1"/>
  <c r="F994" i="1"/>
  <c r="G994" i="1" s="1"/>
  <c r="F993" i="1"/>
  <c r="G993" i="1" s="1"/>
  <c r="F992" i="1"/>
  <c r="G992" i="1" s="1"/>
  <c r="F991" i="1"/>
  <c r="G991" i="1" s="1"/>
  <c r="F990" i="1"/>
  <c r="G990" i="1" s="1"/>
  <c r="F989" i="1"/>
  <c r="G989" i="1" s="1"/>
  <c r="F988" i="1"/>
  <c r="G988" i="1" s="1"/>
  <c r="F987" i="1"/>
  <c r="G987" i="1" s="1"/>
  <c r="F986" i="1"/>
  <c r="G986" i="1" s="1"/>
  <c r="F985" i="1"/>
  <c r="G985" i="1" s="1"/>
  <c r="F983" i="1"/>
  <c r="G983" i="1" s="1"/>
  <c r="F982" i="1"/>
  <c r="G982" i="1" s="1"/>
  <c r="F979" i="1"/>
  <c r="G979" i="1" s="1"/>
  <c r="F976" i="1"/>
  <c r="G976" i="1" s="1"/>
  <c r="F975" i="1"/>
  <c r="G975" i="1" s="1"/>
  <c r="F974" i="1"/>
  <c r="G974" i="1" s="1"/>
  <c r="F972" i="1"/>
  <c r="G972" i="1" s="1"/>
  <c r="F971" i="1"/>
  <c r="G971" i="1" s="1"/>
  <c r="F969" i="1"/>
  <c r="G969" i="1" s="1"/>
  <c r="F968" i="1"/>
  <c r="G968" i="1" s="1"/>
  <c r="F967" i="1"/>
  <c r="G967" i="1" s="1"/>
  <c r="F966" i="1"/>
  <c r="G966" i="1" s="1"/>
  <c r="F965" i="1"/>
  <c r="G965" i="1" s="1"/>
  <c r="F964" i="1"/>
  <c r="G964" i="1" s="1"/>
  <c r="F962" i="1"/>
  <c r="G962" i="1" s="1"/>
  <c r="F961" i="1"/>
  <c r="G961" i="1" s="1"/>
  <c r="F960" i="1"/>
  <c r="G960" i="1" s="1"/>
  <c r="F959" i="1"/>
  <c r="G959" i="1" s="1"/>
  <c r="F958" i="1"/>
  <c r="G958" i="1" s="1"/>
  <c r="F957" i="1"/>
  <c r="G957" i="1" s="1"/>
  <c r="F956" i="1"/>
  <c r="G956" i="1" s="1"/>
  <c r="F954" i="1"/>
  <c r="G954" i="1" s="1"/>
  <c r="F952" i="1"/>
  <c r="G952" i="1" s="1"/>
  <c r="F951" i="1"/>
  <c r="G951" i="1" s="1"/>
  <c r="F950" i="1"/>
  <c r="G950" i="1" s="1"/>
  <c r="F949" i="1"/>
  <c r="G949" i="1" s="1"/>
  <c r="F947" i="1"/>
  <c r="G947" i="1" s="1"/>
  <c r="F946" i="1"/>
  <c r="G946" i="1" s="1"/>
  <c r="F945" i="1"/>
  <c r="G945" i="1" s="1"/>
  <c r="F944" i="1"/>
  <c r="G944" i="1" s="1"/>
  <c r="F943" i="1"/>
  <c r="G943" i="1" s="1"/>
  <c r="F941" i="1"/>
  <c r="G941" i="1" s="1"/>
  <c r="F940" i="1"/>
  <c r="G940" i="1" s="1"/>
  <c r="F939" i="1"/>
  <c r="G939" i="1" s="1"/>
  <c r="F938" i="1"/>
  <c r="G938" i="1" s="1"/>
  <c r="F935" i="1"/>
  <c r="G935" i="1" s="1"/>
  <c r="F934" i="1"/>
  <c r="G934" i="1" s="1"/>
  <c r="F933" i="1"/>
  <c r="G933" i="1" s="1"/>
  <c r="F932" i="1"/>
  <c r="G932" i="1" s="1"/>
  <c r="F931" i="1"/>
  <c r="G931" i="1" s="1"/>
  <c r="F930" i="1"/>
  <c r="G930" i="1" s="1"/>
  <c r="F928" i="1"/>
  <c r="G928" i="1" s="1"/>
  <c r="F926" i="1"/>
  <c r="G926" i="1" s="1"/>
  <c r="F925" i="1"/>
  <c r="G925" i="1" s="1"/>
  <c r="F924" i="1"/>
  <c r="G924" i="1" s="1"/>
  <c r="F923" i="1"/>
  <c r="G923" i="1" s="1"/>
  <c r="F922" i="1"/>
  <c r="G922" i="1" s="1"/>
  <c r="F921" i="1"/>
  <c r="G921" i="1" s="1"/>
  <c r="F920" i="1"/>
  <c r="G920" i="1" s="1"/>
  <c r="F919" i="1"/>
  <c r="G919" i="1" s="1"/>
  <c r="F917" i="1"/>
  <c r="G917" i="1" s="1"/>
  <c r="F916" i="1"/>
  <c r="G916" i="1" s="1"/>
  <c r="F915" i="1"/>
  <c r="G915" i="1" s="1"/>
  <c r="F913" i="1"/>
  <c r="G913" i="1" s="1"/>
  <c r="F912" i="1"/>
  <c r="G912" i="1" s="1"/>
  <c r="F911" i="1"/>
  <c r="G911" i="1" s="1"/>
  <c r="F910" i="1"/>
  <c r="G910" i="1" s="1"/>
  <c r="F909" i="1"/>
  <c r="G909" i="1" s="1"/>
  <c r="F908" i="1"/>
  <c r="G908" i="1" s="1"/>
  <c r="F907" i="1"/>
  <c r="G907" i="1" s="1"/>
  <c r="F906" i="1"/>
  <c r="G906" i="1" s="1"/>
  <c r="F905" i="1"/>
  <c r="G905" i="1" s="1"/>
  <c r="F904" i="1"/>
  <c r="G904" i="1" s="1"/>
  <c r="F903" i="1"/>
  <c r="G903" i="1" s="1"/>
  <c r="F902" i="1"/>
  <c r="G902" i="1" s="1"/>
  <c r="F901" i="1"/>
  <c r="G901" i="1" s="1"/>
  <c r="F900" i="1"/>
  <c r="G900" i="1" s="1"/>
  <c r="F899" i="1"/>
  <c r="G899" i="1" s="1"/>
  <c r="F897" i="1"/>
  <c r="G897" i="1" s="1"/>
  <c r="F896" i="1"/>
  <c r="G896" i="1" s="1"/>
  <c r="F895" i="1"/>
  <c r="G895" i="1" s="1"/>
  <c r="F894" i="1"/>
  <c r="G894" i="1" s="1"/>
  <c r="F893" i="1"/>
  <c r="G893" i="1" s="1"/>
  <c r="F892" i="1"/>
  <c r="G892" i="1" s="1"/>
  <c r="F891" i="1"/>
  <c r="G891" i="1" s="1"/>
  <c r="F890" i="1"/>
  <c r="G890" i="1" s="1"/>
  <c r="F889" i="1"/>
  <c r="G889" i="1" s="1"/>
  <c r="F888" i="1"/>
  <c r="G888" i="1" s="1"/>
  <c r="F887" i="1"/>
  <c r="G887" i="1" s="1"/>
  <c r="F886" i="1"/>
  <c r="G886" i="1" s="1"/>
  <c r="F884" i="1"/>
  <c r="G884" i="1" s="1"/>
  <c r="F883" i="1"/>
  <c r="G883" i="1" s="1"/>
  <c r="F882" i="1"/>
  <c r="G882" i="1" s="1"/>
  <c r="F881" i="1"/>
  <c r="G881" i="1" s="1"/>
  <c r="F880" i="1"/>
  <c r="G880" i="1" s="1"/>
  <c r="F879" i="1"/>
  <c r="G879" i="1" s="1"/>
  <c r="F878" i="1"/>
  <c r="G878" i="1" s="1"/>
  <c r="F877" i="1"/>
  <c r="G877" i="1" s="1"/>
  <c r="F876" i="1"/>
  <c r="G876" i="1" s="1"/>
  <c r="F874" i="1"/>
  <c r="G874" i="1" s="1"/>
  <c r="F873" i="1"/>
  <c r="G873" i="1" s="1"/>
  <c r="F872" i="1"/>
  <c r="G872" i="1" s="1"/>
  <c r="F871" i="1"/>
  <c r="G871" i="1" s="1"/>
  <c r="F870" i="1"/>
  <c r="G870" i="1" s="1"/>
  <c r="F869" i="1"/>
  <c r="G869" i="1" s="1"/>
  <c r="F868" i="1"/>
  <c r="G868" i="1" s="1"/>
  <c r="F867" i="1"/>
  <c r="G867" i="1" s="1"/>
  <c r="F864" i="1"/>
  <c r="G864" i="1" s="1"/>
  <c r="F863" i="1"/>
  <c r="G863" i="1" s="1"/>
  <c r="F862" i="1"/>
  <c r="G862" i="1" s="1"/>
  <c r="F861" i="1"/>
  <c r="G861" i="1" s="1"/>
  <c r="F860" i="1"/>
  <c r="G860" i="1" s="1"/>
  <c r="F859" i="1"/>
  <c r="G859" i="1" s="1"/>
  <c r="F858" i="1"/>
  <c r="G858" i="1" s="1"/>
  <c r="F857" i="1"/>
  <c r="G857" i="1" s="1"/>
  <c r="F856" i="1"/>
  <c r="G856" i="1" s="1"/>
  <c r="F855" i="1"/>
  <c r="G855" i="1" s="1"/>
  <c r="F853" i="1"/>
  <c r="G853" i="1" s="1"/>
  <c r="F852" i="1"/>
  <c r="G852" i="1" s="1"/>
  <c r="F851" i="1"/>
  <c r="G851" i="1" s="1"/>
  <c r="F850" i="1"/>
  <c r="G850" i="1" s="1"/>
  <c r="F849" i="1"/>
  <c r="G849" i="1" s="1"/>
  <c r="F848" i="1"/>
  <c r="G848" i="1" s="1"/>
  <c r="F847" i="1"/>
  <c r="G847" i="1" s="1"/>
  <c r="F846" i="1"/>
  <c r="G846" i="1" s="1"/>
  <c r="F843" i="1"/>
  <c r="G843" i="1" s="1"/>
  <c r="F841" i="1"/>
  <c r="G841" i="1" s="1"/>
  <c r="F840" i="1"/>
  <c r="G840" i="1" s="1"/>
  <c r="F839" i="1"/>
  <c r="G839" i="1" s="1"/>
  <c r="F838" i="1"/>
  <c r="G838" i="1" s="1"/>
  <c r="F837" i="1"/>
  <c r="G837" i="1" s="1"/>
  <c r="F836" i="1"/>
  <c r="G836" i="1" s="1"/>
  <c r="F835" i="1"/>
  <c r="G835" i="1" s="1"/>
  <c r="F834" i="1"/>
  <c r="G834" i="1" s="1"/>
  <c r="F833" i="1"/>
  <c r="G833" i="1" s="1"/>
  <c r="F832" i="1"/>
  <c r="G832" i="1" s="1"/>
  <c r="F831" i="1"/>
  <c r="G831" i="1" s="1"/>
  <c r="F829" i="1"/>
  <c r="G829" i="1" s="1"/>
  <c r="F828" i="1"/>
  <c r="G828" i="1" s="1"/>
  <c r="F827" i="1"/>
  <c r="G827" i="1" s="1"/>
  <c r="F825" i="1"/>
  <c r="G825" i="1" s="1"/>
  <c r="F824" i="1"/>
  <c r="G824" i="1" s="1"/>
  <c r="F822" i="1"/>
  <c r="G822" i="1" s="1"/>
  <c r="F821" i="1"/>
  <c r="G821" i="1" s="1"/>
  <c r="F820" i="1"/>
  <c r="G820" i="1" s="1"/>
  <c r="F819" i="1"/>
  <c r="G819" i="1" s="1"/>
  <c r="F818" i="1"/>
  <c r="G818" i="1" s="1"/>
  <c r="F816" i="1"/>
  <c r="G816" i="1" s="1"/>
  <c r="F815" i="1"/>
  <c r="G815" i="1" s="1"/>
  <c r="F814" i="1"/>
  <c r="G814" i="1" s="1"/>
  <c r="F813" i="1"/>
  <c r="G813" i="1" s="1"/>
  <c r="F812" i="1"/>
  <c r="G812" i="1" s="1"/>
  <c r="F811" i="1"/>
  <c r="G811" i="1" s="1"/>
  <c r="F810" i="1"/>
  <c r="G810" i="1" s="1"/>
  <c r="F809" i="1"/>
  <c r="G809" i="1" s="1"/>
  <c r="F808" i="1"/>
  <c r="G808" i="1" s="1"/>
  <c r="F807" i="1"/>
  <c r="G807" i="1" s="1"/>
  <c r="F806" i="1"/>
  <c r="G806" i="1" s="1"/>
  <c r="F805" i="1"/>
  <c r="G805" i="1" s="1"/>
  <c r="F803" i="1"/>
  <c r="G803" i="1" s="1"/>
  <c r="F802" i="1"/>
  <c r="G802" i="1" s="1"/>
  <c r="F801" i="1"/>
  <c r="G801" i="1" s="1"/>
  <c r="F800" i="1"/>
  <c r="G800" i="1" s="1"/>
  <c r="F799" i="1"/>
  <c r="G799" i="1" s="1"/>
  <c r="F798" i="1"/>
  <c r="G798" i="1" s="1"/>
  <c r="F797" i="1"/>
  <c r="G797" i="1" s="1"/>
  <c r="F794" i="1"/>
  <c r="G794" i="1" s="1"/>
  <c r="F793" i="1"/>
  <c r="G793" i="1" s="1"/>
  <c r="F788" i="1"/>
  <c r="G788" i="1" s="1"/>
  <c r="F787" i="1"/>
  <c r="G787" i="1" s="1"/>
  <c r="F786" i="1"/>
  <c r="G786" i="1" s="1"/>
  <c r="F785" i="1"/>
  <c r="G785" i="1" s="1"/>
  <c r="F784" i="1"/>
  <c r="G784" i="1" s="1"/>
  <c r="F783" i="1"/>
  <c r="G783" i="1" s="1"/>
  <c r="F782" i="1"/>
  <c r="G782" i="1" s="1"/>
  <c r="F781" i="1"/>
  <c r="G781" i="1" s="1"/>
  <c r="F780" i="1"/>
  <c r="G780" i="1" s="1"/>
  <c r="F779" i="1"/>
  <c r="G779" i="1" s="1"/>
  <c r="F778" i="1"/>
  <c r="G778" i="1" s="1"/>
  <c r="F777" i="1"/>
  <c r="G777" i="1" s="1"/>
  <c r="F776" i="1"/>
  <c r="G776" i="1" s="1"/>
  <c r="F775" i="1"/>
  <c r="G775" i="1" s="1"/>
  <c r="F774" i="1"/>
  <c r="G774" i="1" s="1"/>
  <c r="F773" i="1"/>
  <c r="G773" i="1" s="1"/>
  <c r="F772" i="1"/>
  <c r="G772" i="1" s="1"/>
  <c r="F771" i="1"/>
  <c r="G771" i="1" s="1"/>
  <c r="F770" i="1"/>
  <c r="G770" i="1" s="1"/>
  <c r="F769" i="1"/>
  <c r="G769" i="1" s="1"/>
  <c r="F768" i="1"/>
  <c r="G768" i="1" s="1"/>
  <c r="F766" i="1"/>
  <c r="G766" i="1" s="1"/>
  <c r="F765" i="1"/>
  <c r="G765" i="1" s="1"/>
  <c r="F764" i="1"/>
  <c r="G764" i="1" s="1"/>
  <c r="F763" i="1"/>
  <c r="G763" i="1" s="1"/>
  <c r="F761" i="1"/>
  <c r="G761" i="1" s="1"/>
  <c r="F759" i="1"/>
  <c r="G759" i="1" s="1"/>
  <c r="F758" i="1"/>
  <c r="G758" i="1" s="1"/>
  <c r="F757" i="1"/>
  <c r="G757" i="1" s="1"/>
  <c r="F756" i="1"/>
  <c r="G756" i="1" s="1"/>
  <c r="F755" i="1"/>
  <c r="G755" i="1" s="1"/>
  <c r="F754" i="1"/>
  <c r="G754" i="1" s="1"/>
  <c r="F753" i="1"/>
  <c r="G753" i="1" s="1"/>
  <c r="F752" i="1"/>
  <c r="G752" i="1" s="1"/>
  <c r="F751" i="1"/>
  <c r="G751" i="1" s="1"/>
  <c r="F750" i="1"/>
  <c r="G750" i="1" s="1"/>
  <c r="F749" i="1"/>
  <c r="G749" i="1" s="1"/>
  <c r="F748" i="1"/>
  <c r="G748" i="1" s="1"/>
  <c r="F745" i="1"/>
  <c r="G745" i="1" s="1"/>
  <c r="F743" i="1"/>
  <c r="G743" i="1" s="1"/>
  <c r="F742" i="1"/>
  <c r="G742" i="1" s="1"/>
  <c r="F740" i="1"/>
  <c r="G740" i="1" s="1"/>
  <c r="F739" i="1"/>
  <c r="G739" i="1" s="1"/>
  <c r="F738" i="1"/>
  <c r="G738" i="1" s="1"/>
  <c r="F737" i="1"/>
  <c r="G737" i="1" s="1"/>
  <c r="F736" i="1"/>
  <c r="G736" i="1" s="1"/>
  <c r="F734" i="1"/>
  <c r="G734" i="1" s="1"/>
  <c r="F733" i="1"/>
  <c r="G733" i="1" s="1"/>
  <c r="F732" i="1"/>
  <c r="G732" i="1" s="1"/>
  <c r="F731" i="1"/>
  <c r="G731" i="1" s="1"/>
  <c r="F729" i="1"/>
  <c r="G729" i="1" s="1"/>
  <c r="F728" i="1"/>
  <c r="G728" i="1" s="1"/>
  <c r="F727" i="1"/>
  <c r="G727" i="1" s="1"/>
  <c r="F726" i="1"/>
  <c r="G726" i="1" s="1"/>
  <c r="F724" i="1"/>
  <c r="G724" i="1" s="1"/>
  <c r="F723" i="1"/>
  <c r="G723" i="1" s="1"/>
  <c r="F722" i="1"/>
  <c r="G722" i="1" s="1"/>
  <c r="F721" i="1"/>
  <c r="G721" i="1" s="1"/>
  <c r="F720" i="1"/>
  <c r="G720" i="1" s="1"/>
  <c r="F719" i="1"/>
  <c r="G719" i="1" s="1"/>
  <c r="F718" i="1"/>
  <c r="G718" i="1" s="1"/>
  <c r="F717" i="1"/>
  <c r="G717" i="1" s="1"/>
  <c r="F716" i="1"/>
  <c r="G716" i="1" s="1"/>
  <c r="F715" i="1"/>
  <c r="G715" i="1" s="1"/>
  <c r="F714" i="1"/>
  <c r="G714" i="1" s="1"/>
  <c r="F713" i="1"/>
  <c r="G713" i="1" s="1"/>
  <c r="F712" i="1"/>
  <c r="G712" i="1" s="1"/>
  <c r="F711" i="1"/>
  <c r="G711" i="1" s="1"/>
  <c r="F710" i="1"/>
  <c r="G710" i="1" s="1"/>
  <c r="F709" i="1"/>
  <c r="G709" i="1" s="1"/>
  <c r="F708" i="1"/>
  <c r="G708" i="1" s="1"/>
  <c r="F707" i="1"/>
  <c r="G707" i="1" s="1"/>
  <c r="F705" i="1"/>
  <c r="G705" i="1" s="1"/>
  <c r="F704" i="1"/>
  <c r="G704" i="1" s="1"/>
  <c r="F703" i="1"/>
  <c r="G703" i="1" s="1"/>
  <c r="F702" i="1"/>
  <c r="G702" i="1" s="1"/>
  <c r="F701" i="1"/>
  <c r="G701" i="1" s="1"/>
  <c r="F699" i="1"/>
  <c r="G699" i="1" s="1"/>
  <c r="F697" i="1"/>
  <c r="G697" i="1" s="1"/>
  <c r="F696" i="1"/>
  <c r="G696" i="1" s="1"/>
  <c r="F695" i="1"/>
  <c r="G695" i="1" s="1"/>
  <c r="F694" i="1"/>
  <c r="G694" i="1" s="1"/>
  <c r="F693" i="1"/>
  <c r="G693" i="1" s="1"/>
  <c r="F692" i="1"/>
  <c r="G692" i="1" s="1"/>
  <c r="F691" i="1"/>
  <c r="G691" i="1" s="1"/>
  <c r="F690" i="1"/>
  <c r="G690" i="1" s="1"/>
  <c r="F689" i="1"/>
  <c r="G689" i="1" s="1"/>
  <c r="F688" i="1"/>
  <c r="G688" i="1" s="1"/>
  <c r="F687" i="1"/>
  <c r="G687" i="1" s="1"/>
  <c r="F685" i="1"/>
  <c r="G685" i="1" s="1"/>
  <c r="F684" i="1"/>
  <c r="G684" i="1" s="1"/>
  <c r="F683" i="1"/>
  <c r="G683" i="1" s="1"/>
  <c r="F682" i="1"/>
  <c r="G682" i="1" s="1"/>
  <c r="F681" i="1"/>
  <c r="G681" i="1" s="1"/>
  <c r="F680" i="1"/>
  <c r="G680" i="1" s="1"/>
  <c r="F679" i="1"/>
  <c r="G679" i="1" s="1"/>
  <c r="F678" i="1"/>
  <c r="G678" i="1" s="1"/>
  <c r="F677" i="1"/>
  <c r="G677" i="1" s="1"/>
  <c r="F676" i="1"/>
  <c r="G676" i="1" s="1"/>
  <c r="F675" i="1"/>
  <c r="G675" i="1" s="1"/>
  <c r="F674" i="1"/>
  <c r="G674" i="1" s="1"/>
  <c r="F673" i="1"/>
  <c r="G673" i="1" s="1"/>
  <c r="F672" i="1"/>
  <c r="G672" i="1" s="1"/>
  <c r="F671" i="1"/>
  <c r="G671" i="1" s="1"/>
  <c r="F670" i="1"/>
  <c r="G670" i="1" s="1"/>
  <c r="F669" i="1"/>
  <c r="G669" i="1" s="1"/>
  <c r="F668" i="1"/>
  <c r="G668" i="1" s="1"/>
  <c r="F667" i="1"/>
  <c r="G667" i="1" s="1"/>
  <c r="F666" i="1"/>
  <c r="G666" i="1" s="1"/>
  <c r="F665" i="1"/>
  <c r="G665" i="1" s="1"/>
  <c r="F664" i="1"/>
  <c r="G664" i="1" s="1"/>
  <c r="F663" i="1"/>
  <c r="G663" i="1" s="1"/>
  <c r="F662" i="1"/>
  <c r="G662" i="1" s="1"/>
  <c r="F661" i="1"/>
  <c r="G661" i="1" s="1"/>
  <c r="F660" i="1"/>
  <c r="G660" i="1" s="1"/>
  <c r="F659" i="1"/>
  <c r="G659" i="1" s="1"/>
  <c r="F658" i="1"/>
  <c r="G658" i="1" s="1"/>
  <c r="F657" i="1"/>
  <c r="G657" i="1" s="1"/>
  <c r="F656" i="1"/>
  <c r="G656" i="1" s="1"/>
  <c r="F655" i="1"/>
  <c r="G655" i="1" s="1"/>
  <c r="F653" i="1"/>
  <c r="G653" i="1" s="1"/>
  <c r="F652" i="1"/>
  <c r="G652" i="1" s="1"/>
  <c r="F651" i="1"/>
  <c r="G651" i="1" s="1"/>
  <c r="F650" i="1"/>
  <c r="G650" i="1" s="1"/>
  <c r="F649" i="1"/>
  <c r="G649" i="1" s="1"/>
  <c r="F648" i="1"/>
  <c r="G648" i="1" s="1"/>
  <c r="F647" i="1"/>
  <c r="G647" i="1" s="1"/>
  <c r="F646" i="1"/>
  <c r="G646" i="1" s="1"/>
  <c r="F645" i="1"/>
  <c r="G645" i="1" s="1"/>
  <c r="F644" i="1"/>
  <c r="G644" i="1" s="1"/>
  <c r="F642" i="1"/>
  <c r="G642" i="1" s="1"/>
  <c r="F640" i="1"/>
  <c r="G640" i="1" s="1"/>
  <c r="F639" i="1"/>
  <c r="G639" i="1" s="1"/>
  <c r="F638" i="1"/>
  <c r="G638" i="1" s="1"/>
  <c r="F637" i="1"/>
  <c r="G637" i="1" s="1"/>
  <c r="F636" i="1"/>
  <c r="G636" i="1" s="1"/>
  <c r="F635" i="1"/>
  <c r="G635" i="1" s="1"/>
  <c r="F634" i="1"/>
  <c r="G634" i="1" s="1"/>
  <c r="F633" i="1"/>
  <c r="G633" i="1" s="1"/>
  <c r="F632" i="1"/>
  <c r="G632" i="1" s="1"/>
  <c r="F631" i="1"/>
  <c r="G631" i="1" s="1"/>
  <c r="F630" i="1"/>
  <c r="G630" i="1" s="1"/>
  <c r="F629" i="1"/>
  <c r="G629" i="1" s="1"/>
  <c r="F628" i="1"/>
  <c r="G628" i="1" s="1"/>
  <c r="F627" i="1"/>
  <c r="G627" i="1" s="1"/>
  <c r="F626" i="1"/>
  <c r="G626" i="1" s="1"/>
  <c r="F625" i="1"/>
  <c r="G625" i="1" s="1"/>
  <c r="F624" i="1"/>
  <c r="G624" i="1" s="1"/>
  <c r="F623" i="1"/>
  <c r="G623" i="1" s="1"/>
  <c r="F622" i="1"/>
  <c r="G622" i="1" s="1"/>
  <c r="F621" i="1"/>
  <c r="G621" i="1" s="1"/>
  <c r="F620" i="1"/>
  <c r="G620" i="1" s="1"/>
  <c r="F619" i="1"/>
  <c r="G619" i="1" s="1"/>
  <c r="F618" i="1"/>
  <c r="G618" i="1" s="1"/>
  <c r="F617" i="1"/>
  <c r="G617" i="1" s="1"/>
  <c r="F616" i="1"/>
  <c r="G616" i="1" s="1"/>
  <c r="F615" i="1"/>
  <c r="G615" i="1" s="1"/>
  <c r="F614" i="1"/>
  <c r="G614" i="1" s="1"/>
  <c r="F613" i="1"/>
  <c r="G613" i="1" s="1"/>
  <c r="F612" i="1"/>
  <c r="G612" i="1" s="1"/>
  <c r="F611" i="1"/>
  <c r="G611" i="1" s="1"/>
  <c r="F609" i="1"/>
  <c r="G609" i="1" s="1"/>
  <c r="F607" i="1"/>
  <c r="G607" i="1" s="1"/>
  <c r="F606" i="1"/>
  <c r="G606" i="1" s="1"/>
  <c r="F602" i="1"/>
  <c r="G602" i="1" s="1"/>
  <c r="F601" i="1"/>
  <c r="G601" i="1" s="1"/>
  <c r="F600" i="1"/>
  <c r="G600" i="1" s="1"/>
  <c r="F599" i="1"/>
  <c r="G599" i="1" s="1"/>
  <c r="F598" i="1"/>
  <c r="G598" i="1" s="1"/>
  <c r="F597" i="1"/>
  <c r="G597" i="1" s="1"/>
  <c r="F595" i="1"/>
  <c r="G595" i="1" s="1"/>
  <c r="F594" i="1"/>
  <c r="G594" i="1" s="1"/>
  <c r="F593" i="1"/>
  <c r="G593" i="1" s="1"/>
  <c r="F592" i="1"/>
  <c r="G592" i="1" s="1"/>
  <c r="F591" i="1"/>
  <c r="G591" i="1" s="1"/>
  <c r="F590" i="1"/>
  <c r="G590" i="1" s="1"/>
  <c r="F589" i="1"/>
  <c r="G589" i="1" s="1"/>
  <c r="F588" i="1"/>
  <c r="G588" i="1" s="1"/>
  <c r="F587" i="1"/>
  <c r="G587" i="1" s="1"/>
  <c r="F585" i="1"/>
  <c r="G585" i="1" s="1"/>
  <c r="F584" i="1"/>
  <c r="G584" i="1" s="1"/>
  <c r="F583" i="1"/>
  <c r="G583" i="1" s="1"/>
  <c r="F581" i="1"/>
  <c r="G581" i="1" s="1"/>
  <c r="F580" i="1"/>
  <c r="G580" i="1" s="1"/>
  <c r="F579" i="1"/>
  <c r="G579" i="1" s="1"/>
  <c r="F578" i="1"/>
  <c r="G578" i="1" s="1"/>
  <c r="F577" i="1"/>
  <c r="G577" i="1" s="1"/>
  <c r="F576" i="1"/>
  <c r="G576" i="1" s="1"/>
  <c r="F575" i="1"/>
  <c r="G575" i="1" s="1"/>
  <c r="F574" i="1"/>
  <c r="G574" i="1" s="1"/>
  <c r="F573" i="1"/>
  <c r="G573" i="1" s="1"/>
  <c r="F571" i="1"/>
  <c r="G571" i="1" s="1"/>
  <c r="F570" i="1"/>
  <c r="G570" i="1" s="1"/>
  <c r="F569" i="1"/>
  <c r="G569" i="1" s="1"/>
  <c r="F568" i="1"/>
  <c r="G568" i="1" s="1"/>
  <c r="F566" i="1"/>
  <c r="G566" i="1" s="1"/>
  <c r="F565" i="1"/>
  <c r="G565" i="1" s="1"/>
  <c r="F564" i="1"/>
  <c r="G564" i="1" s="1"/>
  <c r="F563" i="1"/>
  <c r="G563" i="1" s="1"/>
  <c r="F561" i="1"/>
  <c r="G561" i="1" s="1"/>
  <c r="F559" i="1"/>
  <c r="G559" i="1" s="1"/>
  <c r="F558" i="1"/>
  <c r="G558" i="1" s="1"/>
  <c r="F557" i="1"/>
  <c r="G557" i="1" s="1"/>
  <c r="F556" i="1"/>
  <c r="G556" i="1" s="1"/>
  <c r="F555" i="1"/>
  <c r="G555" i="1" s="1"/>
  <c r="F554" i="1"/>
  <c r="G554" i="1" s="1"/>
  <c r="F553" i="1"/>
  <c r="G553" i="1" s="1"/>
  <c r="F551" i="1"/>
  <c r="G551" i="1" s="1"/>
  <c r="F550" i="1"/>
  <c r="G550" i="1" s="1"/>
  <c r="F549" i="1"/>
  <c r="G549" i="1" s="1"/>
  <c r="F548" i="1"/>
  <c r="G548" i="1" s="1"/>
  <c r="F547" i="1"/>
  <c r="G547" i="1" s="1"/>
  <c r="F546" i="1"/>
  <c r="G546" i="1" s="1"/>
  <c r="F545" i="1"/>
  <c r="G545" i="1" s="1"/>
  <c r="F544" i="1"/>
  <c r="G544" i="1" s="1"/>
  <c r="F542" i="1"/>
  <c r="G542" i="1" s="1"/>
  <c r="F541" i="1"/>
  <c r="G541" i="1" s="1"/>
  <c r="F540" i="1"/>
  <c r="G540" i="1" s="1"/>
  <c r="F539" i="1"/>
  <c r="G539" i="1" s="1"/>
  <c r="F538" i="1"/>
  <c r="G538" i="1" s="1"/>
  <c r="F537" i="1"/>
  <c r="G537" i="1" s="1"/>
  <c r="F536" i="1"/>
  <c r="G536" i="1" s="1"/>
  <c r="F535" i="1"/>
  <c r="G535" i="1" s="1"/>
  <c r="F534" i="1"/>
  <c r="G534" i="1" s="1"/>
  <c r="F532" i="1"/>
  <c r="G532" i="1" s="1"/>
  <c r="F530" i="1"/>
  <c r="G530" i="1" s="1"/>
  <c r="F528" i="1"/>
  <c r="G528" i="1" s="1"/>
  <c r="F527" i="1"/>
  <c r="G527" i="1" s="1"/>
  <c r="F526" i="1"/>
  <c r="G526" i="1" s="1"/>
  <c r="F525" i="1"/>
  <c r="G525" i="1" s="1"/>
  <c r="F523" i="1"/>
  <c r="G523" i="1" s="1"/>
  <c r="F522" i="1"/>
  <c r="G522" i="1" s="1"/>
  <c r="F520" i="1"/>
  <c r="G520" i="1" s="1"/>
  <c r="F518" i="1"/>
  <c r="G518" i="1" s="1"/>
  <c r="F517" i="1"/>
  <c r="G517" i="1" s="1"/>
  <c r="F514" i="1"/>
  <c r="G514" i="1" s="1"/>
  <c r="F513" i="1"/>
  <c r="G513" i="1" s="1"/>
  <c r="F512" i="1"/>
  <c r="G512" i="1" s="1"/>
  <c r="F511" i="1"/>
  <c r="G511" i="1" s="1"/>
  <c r="F510" i="1"/>
  <c r="G510" i="1" s="1"/>
  <c r="F509" i="1"/>
  <c r="G509" i="1" s="1"/>
  <c r="F508" i="1"/>
  <c r="G508" i="1" s="1"/>
  <c r="F507" i="1"/>
  <c r="G507" i="1" s="1"/>
  <c r="F504" i="1"/>
  <c r="G504" i="1" s="1"/>
  <c r="F503" i="1"/>
  <c r="G503" i="1" s="1"/>
  <c r="F502" i="1"/>
  <c r="G502" i="1" s="1"/>
  <c r="F501" i="1"/>
  <c r="G501" i="1" s="1"/>
  <c r="F500" i="1"/>
  <c r="G500" i="1" s="1"/>
  <c r="F499" i="1"/>
  <c r="G499" i="1" s="1"/>
  <c r="F498" i="1"/>
  <c r="G498" i="1" s="1"/>
  <c r="F497" i="1"/>
  <c r="G497" i="1" s="1"/>
  <c r="F496" i="1"/>
  <c r="G496" i="1" s="1"/>
  <c r="F495" i="1"/>
  <c r="G495" i="1" s="1"/>
  <c r="F494" i="1"/>
  <c r="G494" i="1" s="1"/>
  <c r="F493" i="1"/>
  <c r="G493" i="1" s="1"/>
  <c r="F492" i="1"/>
  <c r="G492" i="1" s="1"/>
  <c r="F491" i="1"/>
  <c r="G491" i="1" s="1"/>
  <c r="F489" i="1"/>
  <c r="G489" i="1" s="1"/>
  <c r="F488" i="1"/>
  <c r="G488" i="1" s="1"/>
  <c r="F486" i="1"/>
  <c r="G486" i="1" s="1"/>
  <c r="F485" i="1"/>
  <c r="G485" i="1" s="1"/>
  <c r="F484" i="1"/>
  <c r="G484" i="1" s="1"/>
  <c r="F483" i="1"/>
  <c r="G483" i="1" s="1"/>
  <c r="F482" i="1"/>
  <c r="G482" i="1" s="1"/>
  <c r="F481" i="1"/>
  <c r="G481" i="1" s="1"/>
  <c r="F480" i="1"/>
  <c r="G480" i="1" s="1"/>
  <c r="F479" i="1"/>
  <c r="G479" i="1" s="1"/>
  <c r="F477" i="1"/>
  <c r="G477" i="1" s="1"/>
  <c r="F476" i="1"/>
  <c r="G476" i="1" s="1"/>
  <c r="F475" i="1"/>
  <c r="G475" i="1" s="1"/>
  <c r="F474" i="1"/>
  <c r="G474" i="1" s="1"/>
  <c r="F473" i="1"/>
  <c r="G473" i="1" s="1"/>
  <c r="F472" i="1"/>
  <c r="G472" i="1" s="1"/>
  <c r="F471" i="1"/>
  <c r="G471" i="1" s="1"/>
  <c r="F470" i="1"/>
  <c r="G470" i="1" s="1"/>
  <c r="F469" i="1"/>
  <c r="G469" i="1" s="1"/>
  <c r="F468" i="1"/>
  <c r="G468" i="1" s="1"/>
  <c r="F467" i="1"/>
  <c r="G467" i="1" s="1"/>
  <c r="F465" i="1"/>
  <c r="G465" i="1" s="1"/>
  <c r="F464" i="1"/>
  <c r="G464" i="1" s="1"/>
  <c r="F463" i="1"/>
  <c r="G463" i="1" s="1"/>
  <c r="F462" i="1"/>
  <c r="G462" i="1" s="1"/>
  <c r="F461" i="1"/>
  <c r="G461" i="1" s="1"/>
  <c r="F460" i="1"/>
  <c r="G460" i="1" s="1"/>
  <c r="F459" i="1"/>
  <c r="G459" i="1" s="1"/>
  <c r="F458" i="1"/>
  <c r="G458" i="1" s="1"/>
  <c r="F457" i="1"/>
  <c r="G457" i="1" s="1"/>
  <c r="F456" i="1"/>
  <c r="G456" i="1" s="1"/>
  <c r="F455" i="1"/>
  <c r="G455" i="1" s="1"/>
  <c r="F454" i="1"/>
  <c r="G454" i="1" s="1"/>
  <c r="F453" i="1"/>
  <c r="G453" i="1" s="1"/>
  <c r="F451" i="1"/>
  <c r="G451" i="1" s="1"/>
  <c r="F450" i="1"/>
  <c r="G450" i="1" s="1"/>
  <c r="F449" i="1"/>
  <c r="G449" i="1" s="1"/>
  <c r="F447" i="1"/>
  <c r="G447" i="1" s="1"/>
  <c r="F446" i="1"/>
  <c r="G446" i="1" s="1"/>
  <c r="F445" i="1"/>
  <c r="G445" i="1" s="1"/>
  <c r="F443" i="1"/>
  <c r="G443" i="1" s="1"/>
  <c r="F442" i="1"/>
  <c r="G442" i="1" s="1"/>
  <c r="F441" i="1"/>
  <c r="G441" i="1" s="1"/>
  <c r="F440" i="1"/>
  <c r="G440" i="1" s="1"/>
  <c r="F439" i="1"/>
  <c r="G439" i="1" s="1"/>
  <c r="F438" i="1"/>
  <c r="G438" i="1" s="1"/>
  <c r="F437" i="1"/>
  <c r="G437" i="1" s="1"/>
  <c r="F436" i="1"/>
  <c r="G436" i="1" s="1"/>
  <c r="F434" i="1"/>
  <c r="G434" i="1" s="1"/>
  <c r="F433" i="1"/>
  <c r="G433" i="1" s="1"/>
  <c r="F432" i="1"/>
  <c r="G432" i="1" s="1"/>
  <c r="F431" i="1"/>
  <c r="G431" i="1" s="1"/>
  <c r="F430" i="1"/>
  <c r="G430" i="1" s="1"/>
  <c r="F429" i="1"/>
  <c r="G429" i="1" s="1"/>
  <c r="F428" i="1"/>
  <c r="G428" i="1" s="1"/>
  <c r="F427" i="1"/>
  <c r="G427" i="1" s="1"/>
  <c r="F426" i="1"/>
  <c r="G426" i="1" s="1"/>
  <c r="F425" i="1"/>
  <c r="G425" i="1" s="1"/>
  <c r="F424" i="1"/>
  <c r="G424" i="1" s="1"/>
  <c r="F423" i="1"/>
  <c r="G423" i="1" s="1"/>
  <c r="F422" i="1"/>
  <c r="G422" i="1" s="1"/>
  <c r="F421" i="1"/>
  <c r="G421" i="1" s="1"/>
  <c r="F420" i="1"/>
  <c r="G420" i="1" s="1"/>
  <c r="F419" i="1"/>
  <c r="G419" i="1" s="1"/>
  <c r="F418" i="1"/>
  <c r="G418" i="1" s="1"/>
  <c r="F417" i="1"/>
  <c r="G417" i="1" s="1"/>
  <c r="F416" i="1"/>
  <c r="G416" i="1" s="1"/>
  <c r="F415" i="1"/>
  <c r="G415" i="1" s="1"/>
  <c r="F414" i="1"/>
  <c r="G414" i="1" s="1"/>
  <c r="F413" i="1"/>
  <c r="G413" i="1" s="1"/>
  <c r="F412" i="1"/>
  <c r="G412" i="1" s="1"/>
  <c r="F411" i="1"/>
  <c r="G411" i="1" s="1"/>
  <c r="F410" i="1"/>
  <c r="G410" i="1" s="1"/>
  <c r="F409" i="1"/>
  <c r="G409" i="1" s="1"/>
  <c r="F408" i="1"/>
  <c r="G408" i="1" s="1"/>
  <c r="F407" i="1"/>
  <c r="G407" i="1" s="1"/>
  <c r="F406" i="1"/>
  <c r="G406" i="1" s="1"/>
  <c r="F405" i="1"/>
  <c r="G405" i="1" s="1"/>
  <c r="F404" i="1"/>
  <c r="G404" i="1" s="1"/>
  <c r="F403" i="1"/>
  <c r="G403" i="1" s="1"/>
  <c r="F402" i="1"/>
  <c r="G402" i="1" s="1"/>
  <c r="F401" i="1"/>
  <c r="G401" i="1" s="1"/>
  <c r="F400" i="1"/>
  <c r="G400" i="1" s="1"/>
  <c r="F399" i="1"/>
  <c r="G399" i="1" s="1"/>
  <c r="F398" i="1"/>
  <c r="G398" i="1" s="1"/>
  <c r="F397" i="1"/>
  <c r="G397" i="1" s="1"/>
  <c r="F396" i="1"/>
  <c r="G396" i="1" s="1"/>
  <c r="F395" i="1"/>
  <c r="G395" i="1" s="1"/>
  <c r="F394" i="1"/>
  <c r="G394" i="1" s="1"/>
  <c r="F393" i="1"/>
  <c r="G393" i="1" s="1"/>
  <c r="F392" i="1"/>
  <c r="G392" i="1" s="1"/>
  <c r="F391" i="1"/>
  <c r="G391" i="1" s="1"/>
  <c r="F390" i="1"/>
  <c r="G390" i="1" s="1"/>
  <c r="F389" i="1"/>
  <c r="G389" i="1" s="1"/>
  <c r="F388" i="1"/>
  <c r="G388" i="1" s="1"/>
  <c r="F387" i="1"/>
  <c r="G387" i="1" s="1"/>
  <c r="F385" i="1"/>
  <c r="G385" i="1" s="1"/>
  <c r="F384" i="1"/>
  <c r="G384" i="1" s="1"/>
  <c r="F383" i="1"/>
  <c r="G383" i="1" s="1"/>
  <c r="F382" i="1"/>
  <c r="G382" i="1" s="1"/>
  <c r="F381" i="1"/>
  <c r="G381" i="1" s="1"/>
  <c r="F380" i="1"/>
  <c r="G380" i="1" s="1"/>
  <c r="F379" i="1"/>
  <c r="G379" i="1" s="1"/>
  <c r="F378" i="1"/>
  <c r="G378" i="1" s="1"/>
  <c r="F377" i="1"/>
  <c r="G377" i="1" s="1"/>
  <c r="F376" i="1"/>
  <c r="G376" i="1" s="1"/>
  <c r="F375" i="1"/>
  <c r="G375" i="1" s="1"/>
  <c r="F374" i="1"/>
  <c r="G374" i="1" s="1"/>
  <c r="F373" i="1"/>
  <c r="G373" i="1" s="1"/>
  <c r="F372" i="1"/>
  <c r="G372" i="1" s="1"/>
  <c r="F371" i="1"/>
  <c r="G371" i="1" s="1"/>
  <c r="F370" i="1"/>
  <c r="G370" i="1" s="1"/>
  <c r="F369" i="1"/>
  <c r="G369" i="1" s="1"/>
  <c r="F368" i="1"/>
  <c r="G368" i="1" s="1"/>
  <c r="F367" i="1"/>
  <c r="G367" i="1" s="1"/>
  <c r="F366" i="1"/>
  <c r="G366" i="1" s="1"/>
  <c r="F364" i="1"/>
  <c r="G364" i="1" s="1"/>
  <c r="F363" i="1"/>
  <c r="G363" i="1" s="1"/>
  <c r="F362" i="1"/>
  <c r="G362" i="1" s="1"/>
  <c r="F357" i="1"/>
  <c r="G357" i="1" s="1"/>
  <c r="F355" i="1"/>
  <c r="G355" i="1" s="1"/>
  <c r="F354" i="1"/>
  <c r="G354" i="1" s="1"/>
  <c r="F353" i="1"/>
  <c r="G353" i="1" s="1"/>
  <c r="F352" i="1"/>
  <c r="G352" i="1" s="1"/>
  <c r="F351" i="1"/>
  <c r="G351" i="1" s="1"/>
  <c r="F350" i="1"/>
  <c r="G350" i="1" s="1"/>
  <c r="F349" i="1"/>
  <c r="G349" i="1" s="1"/>
  <c r="F348" i="1"/>
  <c r="G348" i="1" s="1"/>
  <c r="F347" i="1"/>
  <c r="G347" i="1" s="1"/>
  <c r="F346" i="1"/>
  <c r="G346" i="1" s="1"/>
  <c r="F345" i="1"/>
  <c r="G345" i="1" s="1"/>
  <c r="F344" i="1"/>
  <c r="G344" i="1" s="1"/>
  <c r="F343" i="1"/>
  <c r="G343" i="1" s="1"/>
  <c r="F342" i="1"/>
  <c r="G342" i="1" s="1"/>
  <c r="F341" i="1"/>
  <c r="G341" i="1" s="1"/>
  <c r="F340" i="1"/>
  <c r="G340" i="1" s="1"/>
  <c r="F339" i="1"/>
  <c r="G339" i="1" s="1"/>
  <c r="F338" i="1"/>
  <c r="G338" i="1" s="1"/>
  <c r="F337" i="1"/>
  <c r="G337" i="1" s="1"/>
  <c r="F336" i="1"/>
  <c r="G336" i="1" s="1"/>
  <c r="F335" i="1"/>
  <c r="G335" i="1" s="1"/>
  <c r="F334" i="1"/>
  <c r="G334" i="1" s="1"/>
  <c r="F333" i="1"/>
  <c r="G333" i="1" s="1"/>
  <c r="F332" i="1"/>
  <c r="G332" i="1" s="1"/>
  <c r="F331" i="1"/>
  <c r="G331" i="1" s="1"/>
  <c r="F330" i="1"/>
  <c r="G330" i="1" s="1"/>
  <c r="F329" i="1"/>
  <c r="G329" i="1" s="1"/>
  <c r="F328" i="1"/>
  <c r="G328" i="1" s="1"/>
  <c r="F327" i="1"/>
  <c r="G327" i="1" s="1"/>
  <c r="F326" i="1"/>
  <c r="G326" i="1" s="1"/>
  <c r="F325" i="1"/>
  <c r="G325" i="1" s="1"/>
  <c r="F323" i="1"/>
  <c r="G323" i="1" s="1"/>
  <c r="F322" i="1"/>
  <c r="G322" i="1" s="1"/>
  <c r="F321" i="1"/>
  <c r="G321" i="1" s="1"/>
  <c r="F320" i="1"/>
  <c r="G320" i="1" s="1"/>
  <c r="F319" i="1"/>
  <c r="G319" i="1" s="1"/>
  <c r="F318" i="1"/>
  <c r="G318" i="1" s="1"/>
  <c r="F317" i="1"/>
  <c r="G317" i="1" s="1"/>
  <c r="F316" i="1"/>
  <c r="G316" i="1" s="1"/>
  <c r="F315" i="1"/>
  <c r="G315" i="1" s="1"/>
  <c r="F314" i="1"/>
  <c r="G314" i="1" s="1"/>
  <c r="F313" i="1"/>
  <c r="G313" i="1" s="1"/>
  <c r="F312" i="1"/>
  <c r="G312" i="1" s="1"/>
  <c r="F311" i="1"/>
  <c r="G311" i="1" s="1"/>
  <c r="F310" i="1"/>
  <c r="G310" i="1" s="1"/>
  <c r="F309" i="1"/>
  <c r="G309" i="1" s="1"/>
  <c r="F308" i="1"/>
  <c r="G308" i="1" s="1"/>
  <c r="F307" i="1"/>
  <c r="G307" i="1" s="1"/>
  <c r="F306" i="1"/>
  <c r="G306" i="1" s="1"/>
  <c r="F305" i="1"/>
  <c r="G305" i="1" s="1"/>
  <c r="F304" i="1"/>
  <c r="G304" i="1" s="1"/>
  <c r="F303" i="1"/>
  <c r="G303" i="1" s="1"/>
  <c r="F302" i="1"/>
  <c r="G302" i="1" s="1"/>
  <c r="F301" i="1"/>
  <c r="G301" i="1" s="1"/>
  <c r="F299" i="1"/>
  <c r="G299" i="1" s="1"/>
  <c r="F296" i="1"/>
  <c r="G296" i="1" s="1"/>
  <c r="F292" i="1"/>
  <c r="G292" i="1" s="1"/>
  <c r="F291" i="1"/>
  <c r="G291" i="1" s="1"/>
  <c r="F290" i="1"/>
  <c r="G290" i="1" s="1"/>
  <c r="F289" i="1"/>
  <c r="G289" i="1" s="1"/>
  <c r="F288" i="1"/>
  <c r="G288" i="1" s="1"/>
  <c r="F285" i="1"/>
  <c r="G285" i="1" s="1"/>
  <c r="F284" i="1"/>
  <c r="G284" i="1" s="1"/>
  <c r="F283" i="1"/>
  <c r="G283" i="1" s="1"/>
  <c r="F282" i="1"/>
  <c r="G282" i="1" s="1"/>
  <c r="F281" i="1"/>
  <c r="G281" i="1" s="1"/>
  <c r="F280" i="1"/>
  <c r="G280" i="1" s="1"/>
  <c r="F279" i="1"/>
  <c r="G279" i="1" s="1"/>
  <c r="F278" i="1"/>
  <c r="G278" i="1" s="1"/>
  <c r="F276" i="1"/>
  <c r="G276" i="1" s="1"/>
  <c r="F275" i="1"/>
  <c r="G275" i="1" s="1"/>
  <c r="F274" i="1"/>
  <c r="G274" i="1" s="1"/>
  <c r="F273" i="1"/>
  <c r="G273" i="1" s="1"/>
  <c r="F272" i="1"/>
  <c r="G272" i="1" s="1"/>
  <c r="F270" i="1"/>
  <c r="G270" i="1" s="1"/>
  <c r="F269" i="1"/>
  <c r="G269" i="1" s="1"/>
  <c r="F268" i="1"/>
  <c r="G268" i="1" s="1"/>
  <c r="F267" i="1"/>
  <c r="G267" i="1" s="1"/>
  <c r="F266" i="1"/>
  <c r="G266" i="1" s="1"/>
  <c r="F265" i="1"/>
  <c r="G265" i="1" s="1"/>
  <c r="F264" i="1"/>
  <c r="G264" i="1" s="1"/>
  <c r="F263" i="1"/>
  <c r="G263" i="1" s="1"/>
  <c r="F262" i="1"/>
  <c r="G262" i="1" s="1"/>
  <c r="F261" i="1"/>
  <c r="G261" i="1" s="1"/>
  <c r="F260" i="1"/>
  <c r="G260" i="1" s="1"/>
  <c r="F259" i="1"/>
  <c r="G259" i="1" s="1"/>
  <c r="F257" i="1"/>
  <c r="G257" i="1" s="1"/>
  <c r="F256" i="1"/>
  <c r="G256" i="1" s="1"/>
  <c r="F255" i="1"/>
  <c r="G255" i="1" s="1"/>
  <c r="F253" i="1"/>
  <c r="G253" i="1" s="1"/>
  <c r="F252" i="1"/>
  <c r="G252" i="1" s="1"/>
  <c r="F250" i="1"/>
  <c r="G250" i="1" s="1"/>
  <c r="F249" i="1"/>
  <c r="G249" i="1" s="1"/>
  <c r="F246" i="1"/>
  <c r="G246" i="1" s="1"/>
  <c r="F245" i="1"/>
  <c r="G245" i="1" s="1"/>
  <c r="F244" i="1"/>
  <c r="G244" i="1" s="1"/>
  <c r="F243" i="1"/>
  <c r="G243" i="1" s="1"/>
  <c r="F242" i="1"/>
  <c r="G242" i="1" s="1"/>
  <c r="F241" i="1"/>
  <c r="G241" i="1" s="1"/>
  <c r="F240" i="1"/>
  <c r="G240" i="1" s="1"/>
  <c r="F239" i="1"/>
  <c r="G239" i="1" s="1"/>
  <c r="F238" i="1"/>
  <c r="G238" i="1" s="1"/>
  <c r="F237" i="1"/>
  <c r="G237" i="1" s="1"/>
  <c r="F236" i="1"/>
  <c r="G236" i="1" s="1"/>
  <c r="F235" i="1"/>
  <c r="G235" i="1" s="1"/>
  <c r="F234" i="1"/>
  <c r="G234" i="1" s="1"/>
  <c r="F233" i="1"/>
  <c r="G233" i="1" s="1"/>
  <c r="F232" i="1"/>
  <c r="G232" i="1" s="1"/>
  <c r="F231" i="1"/>
  <c r="G231" i="1" s="1"/>
  <c r="F230" i="1"/>
  <c r="G230" i="1" s="1"/>
  <c r="F229" i="1"/>
  <c r="G229" i="1" s="1"/>
  <c r="F228" i="1"/>
  <c r="G228" i="1" s="1"/>
  <c r="F227" i="1"/>
  <c r="G227" i="1" s="1"/>
  <c r="F225" i="1"/>
  <c r="G225" i="1" s="1"/>
  <c r="F224" i="1"/>
  <c r="G224" i="1" s="1"/>
  <c r="F223" i="1"/>
  <c r="G223" i="1" s="1"/>
  <c r="F222" i="1"/>
  <c r="G222" i="1" s="1"/>
  <c r="F221" i="1"/>
  <c r="G221" i="1" s="1"/>
  <c r="F220" i="1"/>
  <c r="G220" i="1" s="1"/>
  <c r="F219" i="1"/>
  <c r="G219" i="1" s="1"/>
  <c r="F218" i="1"/>
  <c r="G218" i="1" s="1"/>
  <c r="F216" i="1"/>
  <c r="G216" i="1" s="1"/>
  <c r="F215" i="1"/>
  <c r="G215" i="1" s="1"/>
  <c r="F214" i="1"/>
  <c r="G214" i="1" s="1"/>
  <c r="F213" i="1"/>
  <c r="G213" i="1" s="1"/>
  <c r="F211" i="1"/>
  <c r="G211" i="1" s="1"/>
  <c r="F210" i="1"/>
  <c r="G210" i="1" s="1"/>
  <c r="F209" i="1"/>
  <c r="G209" i="1" s="1"/>
  <c r="F208" i="1"/>
  <c r="G208" i="1" s="1"/>
  <c r="F207" i="1"/>
  <c r="G207" i="1" s="1"/>
  <c r="F206" i="1"/>
  <c r="G206" i="1" s="1"/>
  <c r="F205" i="1"/>
  <c r="G205" i="1" s="1"/>
  <c r="F204" i="1"/>
  <c r="G204" i="1" s="1"/>
  <c r="F203" i="1"/>
  <c r="G203" i="1" s="1"/>
  <c r="F202" i="1"/>
  <c r="G202" i="1" s="1"/>
  <c r="F201" i="1"/>
  <c r="G201" i="1" s="1"/>
  <c r="F200" i="1"/>
  <c r="G200" i="1" s="1"/>
  <c r="F199" i="1"/>
  <c r="G199" i="1" s="1"/>
  <c r="F198" i="1"/>
  <c r="G198" i="1" s="1"/>
  <c r="F197" i="1"/>
  <c r="G197" i="1" s="1"/>
  <c r="F196" i="1"/>
  <c r="G196" i="1" s="1"/>
  <c r="F195" i="1"/>
  <c r="G195" i="1" s="1"/>
  <c r="F194" i="1"/>
  <c r="G194" i="1" s="1"/>
  <c r="F193" i="1"/>
  <c r="G193" i="1" s="1"/>
  <c r="F192" i="1"/>
  <c r="G192" i="1" s="1"/>
  <c r="F191" i="1"/>
  <c r="G191" i="1" s="1"/>
  <c r="F190" i="1"/>
  <c r="G190" i="1" s="1"/>
  <c r="F189" i="1"/>
  <c r="G189" i="1" s="1"/>
  <c r="F188" i="1"/>
  <c r="G188" i="1" s="1"/>
  <c r="F187" i="1"/>
  <c r="G187" i="1" s="1"/>
  <c r="F186" i="1"/>
  <c r="G186" i="1" s="1"/>
  <c r="F185" i="1"/>
  <c r="G185" i="1" s="1"/>
  <c r="F184" i="1"/>
  <c r="G184" i="1" s="1"/>
  <c r="F183" i="1"/>
  <c r="G183" i="1" s="1"/>
  <c r="F182" i="1"/>
  <c r="G182" i="1" s="1"/>
  <c r="F181" i="1"/>
  <c r="G181" i="1" s="1"/>
  <c r="F179" i="1"/>
  <c r="G179" i="1" s="1"/>
  <c r="F178" i="1"/>
  <c r="G178" i="1" s="1"/>
  <c r="F177" i="1"/>
  <c r="G177" i="1" s="1"/>
  <c r="F176" i="1"/>
  <c r="G176" i="1" s="1"/>
  <c r="F175" i="1"/>
  <c r="G175" i="1" s="1"/>
  <c r="F174" i="1"/>
  <c r="G174" i="1" s="1"/>
  <c r="F173" i="1"/>
  <c r="G173" i="1" s="1"/>
  <c r="F172" i="1"/>
  <c r="G172" i="1" s="1"/>
  <c r="F171" i="1"/>
  <c r="G171" i="1" s="1"/>
  <c r="F170" i="1"/>
  <c r="G170" i="1" s="1"/>
  <c r="F169" i="1"/>
  <c r="G169" i="1" s="1"/>
  <c r="F168" i="1"/>
  <c r="G168" i="1" s="1"/>
  <c r="F167" i="1"/>
  <c r="G167" i="1" s="1"/>
  <c r="F166" i="1"/>
  <c r="G166" i="1" s="1"/>
  <c r="F165" i="1"/>
  <c r="G165" i="1" s="1"/>
  <c r="F164" i="1"/>
  <c r="G164" i="1" s="1"/>
  <c r="F163" i="1"/>
  <c r="G163" i="1" s="1"/>
  <c r="F162" i="1"/>
  <c r="G162" i="1" s="1"/>
  <c r="F161" i="1"/>
  <c r="G161" i="1" s="1"/>
  <c r="F160" i="1"/>
  <c r="G160" i="1" s="1"/>
  <c r="F159" i="1"/>
  <c r="G159" i="1" s="1"/>
  <c r="F158" i="1"/>
  <c r="G158" i="1" s="1"/>
  <c r="F157" i="1"/>
  <c r="G157" i="1" s="1"/>
  <c r="F155" i="1"/>
  <c r="G155" i="1" s="1"/>
  <c r="F154" i="1"/>
  <c r="G154" i="1" s="1"/>
  <c r="F153" i="1"/>
  <c r="G153" i="1" s="1"/>
  <c r="F152" i="1"/>
  <c r="G152" i="1" s="1"/>
  <c r="F151" i="1"/>
  <c r="G151" i="1" s="1"/>
  <c r="F150" i="1"/>
  <c r="G150" i="1" s="1"/>
  <c r="F148" i="1"/>
  <c r="G148" i="1" s="1"/>
  <c r="F147" i="1"/>
  <c r="G147" i="1" s="1"/>
  <c r="F146" i="1"/>
  <c r="G146" i="1" s="1"/>
  <c r="F145" i="1"/>
  <c r="G145" i="1" s="1"/>
  <c r="F143" i="1"/>
  <c r="G143" i="1" s="1"/>
  <c r="F142" i="1"/>
  <c r="G142" i="1" s="1"/>
  <c r="F141" i="1"/>
  <c r="G141" i="1" s="1"/>
  <c r="F140" i="1"/>
  <c r="G140" i="1" s="1"/>
  <c r="F139" i="1"/>
  <c r="G139" i="1" s="1"/>
  <c r="F138" i="1"/>
  <c r="G138" i="1" s="1"/>
  <c r="F137" i="1"/>
  <c r="G137" i="1" s="1"/>
  <c r="F136" i="1"/>
  <c r="G136" i="1" s="1"/>
  <c r="F135" i="1"/>
  <c r="G135" i="1" s="1"/>
  <c r="F134" i="1"/>
  <c r="G134" i="1" s="1"/>
  <c r="F132" i="1"/>
  <c r="G132" i="1" s="1"/>
  <c r="F131" i="1"/>
  <c r="G131" i="1" s="1"/>
  <c r="F130" i="1"/>
  <c r="G130" i="1" s="1"/>
  <c r="F129" i="1"/>
  <c r="G129" i="1" s="1"/>
  <c r="F128" i="1"/>
  <c r="G128" i="1" s="1"/>
  <c r="F126" i="1"/>
  <c r="G126" i="1" s="1"/>
  <c r="F125" i="1"/>
  <c r="G125" i="1" s="1"/>
  <c r="F124" i="1"/>
  <c r="G124" i="1" s="1"/>
  <c r="F123" i="1"/>
  <c r="G123" i="1" s="1"/>
  <c r="F122" i="1"/>
  <c r="G122" i="1" s="1"/>
  <c r="F121" i="1"/>
  <c r="G121" i="1" s="1"/>
  <c r="F120" i="1"/>
  <c r="G120" i="1" s="1"/>
  <c r="F119" i="1"/>
  <c r="G119" i="1" s="1"/>
  <c r="F118" i="1"/>
  <c r="G118" i="1" s="1"/>
  <c r="F117" i="1"/>
  <c r="G117" i="1" s="1"/>
  <c r="F116" i="1"/>
  <c r="G116" i="1" s="1"/>
  <c r="F115" i="1"/>
  <c r="G115" i="1" s="1"/>
  <c r="F114" i="1"/>
  <c r="G114" i="1" s="1"/>
  <c r="F113" i="1"/>
  <c r="G113" i="1" s="1"/>
  <c r="F112" i="1"/>
  <c r="G112" i="1" s="1"/>
  <c r="F111" i="1"/>
  <c r="G111" i="1" s="1"/>
  <c r="F110" i="1"/>
  <c r="G110" i="1" s="1"/>
  <c r="F109" i="1"/>
  <c r="G109" i="1" s="1"/>
  <c r="F108" i="1"/>
  <c r="G108" i="1" s="1"/>
  <c r="F107" i="1"/>
  <c r="G107" i="1" s="1"/>
  <c r="F105" i="1"/>
  <c r="G105" i="1" s="1"/>
  <c r="F104" i="1"/>
  <c r="G104" i="1" s="1"/>
  <c r="F103" i="1"/>
  <c r="G103" i="1" s="1"/>
  <c r="F102" i="1"/>
  <c r="G102" i="1" s="1"/>
  <c r="F101" i="1"/>
  <c r="G101" i="1" s="1"/>
  <c r="F100" i="1"/>
  <c r="G100" i="1" s="1"/>
  <c r="F99" i="1"/>
  <c r="G99" i="1" s="1"/>
  <c r="F98" i="1"/>
  <c r="G98" i="1" s="1"/>
  <c r="F97" i="1"/>
  <c r="G97" i="1" s="1"/>
  <c r="F96" i="1"/>
  <c r="G96" i="1" s="1"/>
  <c r="F95" i="1"/>
  <c r="G95" i="1" s="1"/>
  <c r="F94" i="1"/>
  <c r="G94" i="1" s="1"/>
  <c r="F92" i="1"/>
  <c r="G92" i="1" s="1"/>
  <c r="F91" i="1"/>
  <c r="G91" i="1" s="1"/>
  <c r="F90" i="1"/>
  <c r="G90" i="1" s="1"/>
  <c r="F89" i="1"/>
  <c r="G89" i="1" s="1"/>
  <c r="F88" i="1"/>
  <c r="G88" i="1" s="1"/>
  <c r="F87" i="1"/>
  <c r="G87" i="1" s="1"/>
  <c r="F86" i="1"/>
  <c r="G86" i="1" s="1"/>
  <c r="F85" i="1"/>
  <c r="G85" i="1" s="1"/>
  <c r="F84" i="1"/>
  <c r="G84" i="1" s="1"/>
  <c r="F83" i="1"/>
  <c r="G83" i="1" s="1"/>
  <c r="F82" i="1"/>
  <c r="G82" i="1" s="1"/>
  <c r="F81" i="1"/>
  <c r="G81" i="1" s="1"/>
  <c r="F80" i="1"/>
  <c r="G80" i="1" s="1"/>
  <c r="F79" i="1"/>
  <c r="G79" i="1" s="1"/>
  <c r="F77" i="1"/>
  <c r="G77" i="1" s="1"/>
  <c r="F75" i="1"/>
  <c r="G75" i="1" s="1"/>
  <c r="F74" i="1"/>
  <c r="G74" i="1" s="1"/>
  <c r="F72" i="1"/>
  <c r="G72" i="1" s="1"/>
  <c r="F70" i="1"/>
  <c r="G70" i="1" s="1"/>
  <c r="F69" i="1"/>
  <c r="G69" i="1" s="1"/>
  <c r="F68" i="1"/>
  <c r="G68" i="1" s="1"/>
  <c r="F67" i="1"/>
  <c r="G67" i="1" s="1"/>
  <c r="F66" i="1"/>
  <c r="G66" i="1" s="1"/>
  <c r="F65" i="1"/>
  <c r="G65" i="1" s="1"/>
  <c r="F64" i="1"/>
  <c r="G64" i="1" s="1"/>
  <c r="F62" i="1"/>
  <c r="G62" i="1" s="1"/>
  <c r="F61" i="1"/>
  <c r="G61" i="1" s="1"/>
  <c r="F60" i="1"/>
  <c r="G60" i="1" s="1"/>
  <c r="F59" i="1"/>
  <c r="G59" i="1" s="1"/>
  <c r="F58" i="1"/>
  <c r="G58" i="1" s="1"/>
  <c r="F57" i="1"/>
  <c r="G57" i="1" s="1"/>
  <c r="F55" i="1"/>
  <c r="G55" i="1" s="1"/>
  <c r="F54" i="1"/>
  <c r="G54" i="1" s="1"/>
  <c r="F53" i="1"/>
  <c r="G53" i="1" s="1"/>
  <c r="F52" i="1"/>
  <c r="G52" i="1" s="1"/>
  <c r="F51" i="1"/>
  <c r="G51" i="1" s="1"/>
  <c r="F49" i="1"/>
  <c r="G49" i="1" s="1"/>
  <c r="F48" i="1"/>
  <c r="G48" i="1" s="1"/>
  <c r="F47" i="1"/>
  <c r="G47" i="1" s="1"/>
  <c r="F46" i="1"/>
  <c r="G46" i="1" s="1"/>
  <c r="F45" i="1"/>
  <c r="G45" i="1" s="1"/>
  <c r="F44" i="1"/>
  <c r="G44" i="1" s="1"/>
  <c r="F43" i="1"/>
  <c r="G43" i="1" s="1"/>
  <c r="F42" i="1"/>
  <c r="G42" i="1" s="1"/>
  <c r="F40" i="1"/>
  <c r="G40" i="1" s="1"/>
  <c r="F39" i="1"/>
  <c r="G39" i="1" s="1"/>
  <c r="F38" i="1"/>
  <c r="G38" i="1" s="1"/>
  <c r="F37" i="1"/>
  <c r="G37" i="1" s="1"/>
  <c r="F36" i="1"/>
  <c r="G36" i="1" s="1"/>
  <c r="F35" i="1"/>
  <c r="G35" i="1" s="1"/>
  <c r="F34" i="1"/>
  <c r="G34" i="1" s="1"/>
  <c r="F32" i="1"/>
  <c r="G32" i="1" s="1"/>
  <c r="F31" i="1"/>
  <c r="G31" i="1" s="1"/>
  <c r="F30" i="1"/>
  <c r="G30" i="1" s="1"/>
  <c r="F29" i="1"/>
  <c r="G29" i="1" s="1"/>
  <c r="F28" i="1"/>
  <c r="G28" i="1" s="1"/>
  <c r="F27" i="1"/>
  <c r="G27" i="1" s="1"/>
  <c r="F26" i="1"/>
  <c r="G26" i="1" s="1"/>
  <c r="F25" i="1"/>
  <c r="G25" i="1" s="1"/>
  <c r="F24" i="1"/>
  <c r="G24" i="1" s="1"/>
  <c r="F22" i="1"/>
  <c r="G22" i="1" s="1"/>
  <c r="F21" i="1"/>
  <c r="G21" i="1" s="1"/>
  <c r="F20" i="1"/>
  <c r="G20" i="1" s="1"/>
  <c r="F19" i="1"/>
  <c r="G19" i="1" s="1"/>
  <c r="F18" i="1"/>
  <c r="G18" i="1" s="1"/>
  <c r="F17" i="1"/>
  <c r="G17" i="1" s="1"/>
  <c r="F16" i="1"/>
  <c r="G16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7" i="1"/>
  <c r="G7" i="1" s="1"/>
  <c r="F6" i="1"/>
  <c r="G6" i="1" s="1"/>
  <c r="F5" i="1"/>
  <c r="G5" i="1" s="1"/>
  <c r="F4" i="1"/>
  <c r="G4" i="1" s="1"/>
  <c r="F3" i="1"/>
  <c r="G3" i="1" s="1"/>
  <c r="F2" i="1"/>
  <c r="G2" i="1" s="1"/>
  <c r="F9" i="4"/>
  <c r="F10" i="4"/>
  <c r="F11" i="4"/>
  <c r="F2" i="4"/>
  <c r="F3" i="4"/>
  <c r="F4" i="4"/>
  <c r="F1430" i="1"/>
  <c r="G1430" i="1" s="1"/>
  <c r="F1431" i="1"/>
  <c r="G1431" i="1" s="1"/>
  <c r="F1432" i="1"/>
  <c r="G1432" i="1" s="1"/>
  <c r="F1433" i="1"/>
  <c r="G1433" i="1" s="1"/>
  <c r="F1434" i="1"/>
  <c r="G1434" i="1" s="1"/>
  <c r="F1435" i="1"/>
  <c r="G1435" i="1" s="1"/>
  <c r="F1453" i="1"/>
  <c r="G1453" i="1" s="1"/>
  <c r="F1454" i="1"/>
  <c r="G1454" i="1" s="1"/>
  <c r="F1455" i="1"/>
  <c r="G1455" i="1" s="1"/>
  <c r="F1456" i="1"/>
  <c r="G1456" i="1" s="1"/>
  <c r="F1457" i="1"/>
  <c r="G1457" i="1" s="1"/>
  <c r="F1458" i="1"/>
  <c r="G1458" i="1" s="1"/>
  <c r="F1459" i="1"/>
  <c r="G1459" i="1" s="1"/>
  <c r="F1460" i="1"/>
  <c r="G1460" i="1" s="1"/>
  <c r="F1461" i="1"/>
  <c r="G1461" i="1" s="1"/>
  <c r="F1463" i="1"/>
  <c r="G1463" i="1" s="1"/>
  <c r="F1466" i="1"/>
  <c r="G1466" i="1" s="1"/>
  <c r="F1470" i="1"/>
  <c r="G1470" i="1" s="1"/>
  <c r="F1474" i="1"/>
  <c r="G1474" i="1" s="1"/>
  <c r="F1475" i="1"/>
  <c r="G1475" i="1" s="1"/>
  <c r="F1476" i="1"/>
  <c r="G1476" i="1" s="1"/>
  <c r="F1477" i="1"/>
  <c r="G1477" i="1" s="1"/>
  <c r="F1478" i="1"/>
  <c r="G1478" i="1" s="1"/>
  <c r="F1482" i="1"/>
  <c r="G1482" i="1" s="1"/>
  <c r="F1483" i="1"/>
  <c r="G1483" i="1" s="1"/>
  <c r="F1484" i="1"/>
  <c r="G1484" i="1" s="1"/>
  <c r="F1485" i="1"/>
  <c r="G1485" i="1" s="1"/>
  <c r="F1488" i="1"/>
  <c r="G1488" i="1" s="1"/>
  <c r="F1489" i="1"/>
  <c r="G1489" i="1" s="1"/>
  <c r="F1490" i="1"/>
  <c r="G1490" i="1" s="1"/>
  <c r="F1491" i="1"/>
  <c r="G1491" i="1" s="1"/>
  <c r="F1492" i="1"/>
  <c r="G1492" i="1" s="1"/>
  <c r="F1502" i="1"/>
  <c r="G1502" i="1" s="1"/>
  <c r="F1503" i="1"/>
  <c r="G1503" i="1" s="1"/>
  <c r="F1504" i="1"/>
  <c r="G1504" i="1" s="1"/>
  <c r="F1506" i="1"/>
  <c r="G1506" i="1" s="1"/>
  <c r="F1507" i="1"/>
  <c r="G1507" i="1" s="1"/>
  <c r="F1508" i="1"/>
  <c r="G1508" i="1" s="1"/>
  <c r="F1509" i="1"/>
  <c r="G1509" i="1" s="1"/>
  <c r="F1510" i="1"/>
  <c r="G1510" i="1" s="1"/>
  <c r="F1511" i="1"/>
  <c r="G1511" i="1" s="1"/>
  <c r="F1512" i="1"/>
  <c r="G1512" i="1" s="1"/>
  <c r="F1513" i="1"/>
  <c r="G1513" i="1" s="1"/>
  <c r="F1514" i="1"/>
  <c r="G1514" i="1" s="1"/>
  <c r="F1515" i="1"/>
  <c r="G1515" i="1" s="1"/>
  <c r="F1516" i="1"/>
  <c r="G1516" i="1" s="1"/>
  <c r="F1517" i="1"/>
  <c r="G1517" i="1" s="1"/>
  <c r="F1518" i="1"/>
  <c r="G1518" i="1" s="1"/>
  <c r="F1522" i="1"/>
  <c r="G1522" i="1" s="1"/>
  <c r="F1523" i="1"/>
  <c r="G1523" i="1" s="1"/>
  <c r="F1524" i="1"/>
  <c r="G1524" i="1" s="1"/>
  <c r="F1527" i="1"/>
  <c r="G1527" i="1" s="1"/>
  <c r="F1529" i="1"/>
  <c r="G1529" i="1" s="1"/>
  <c r="F1530" i="1"/>
  <c r="G1530" i="1" s="1"/>
  <c r="F1531" i="1"/>
  <c r="G1531" i="1" s="1"/>
  <c r="F1532" i="1"/>
  <c r="G1532" i="1" s="1"/>
  <c r="F1533" i="1"/>
  <c r="G1533" i="1" s="1"/>
  <c r="F1538" i="1"/>
  <c r="G1538" i="1" s="1"/>
  <c r="F1540" i="1"/>
  <c r="G1540" i="1" s="1"/>
  <c r="F1541" i="1"/>
  <c r="G1541" i="1" s="1"/>
  <c r="F1543" i="1"/>
  <c r="G1543" i="1" s="1"/>
  <c r="F1544" i="1"/>
  <c r="G1544" i="1" s="1"/>
  <c r="F1549" i="1"/>
  <c r="G1549" i="1" s="1"/>
  <c r="F1559" i="1"/>
  <c r="G1559" i="1" s="1"/>
  <c r="F1560" i="1"/>
  <c r="G1560" i="1" s="1"/>
  <c r="F1561" i="1"/>
  <c r="G1561" i="1" s="1"/>
  <c r="F1562" i="1"/>
  <c r="G1562" i="1" s="1"/>
  <c r="F1563" i="1"/>
  <c r="G1563" i="1" s="1"/>
  <c r="F1564" i="1"/>
  <c r="G1564" i="1" s="1"/>
  <c r="F1565" i="1"/>
  <c r="G1565" i="1" s="1"/>
  <c r="F1566" i="1"/>
  <c r="G1566" i="1" s="1"/>
  <c r="F1567" i="1"/>
  <c r="G1567" i="1" s="1"/>
  <c r="F1580" i="1"/>
  <c r="G1580" i="1" s="1"/>
  <c r="F1581" i="1"/>
  <c r="G1581" i="1" s="1"/>
  <c r="F1582" i="1"/>
  <c r="G1582" i="1" s="1"/>
  <c r="F1583" i="1"/>
  <c r="G1583" i="1" s="1"/>
  <c r="F1584" i="1"/>
  <c r="G1584" i="1" s="1"/>
  <c r="F1585" i="1"/>
  <c r="G1585" i="1" s="1"/>
  <c r="F1586" i="1"/>
  <c r="G1586" i="1" s="1"/>
  <c r="F1587" i="1"/>
  <c r="G1587" i="1" s="1"/>
  <c r="F1588" i="1"/>
  <c r="G1588" i="1" s="1"/>
  <c r="F1589" i="1"/>
  <c r="G1589" i="1" s="1"/>
  <c r="F1590" i="1"/>
  <c r="G1590" i="1" s="1"/>
  <c r="F1591" i="1"/>
  <c r="G1591" i="1" s="1"/>
  <c r="F1592" i="1"/>
  <c r="G1592" i="1" s="1"/>
  <c r="F1593" i="1"/>
  <c r="G1593" i="1" s="1"/>
  <c r="F1594" i="1"/>
  <c r="G1594" i="1" s="1"/>
  <c r="F1595" i="1"/>
  <c r="G1595" i="1" s="1"/>
  <c r="F1596" i="1"/>
  <c r="G1596" i="1" s="1"/>
  <c r="F1597" i="1"/>
  <c r="G1597" i="1" s="1"/>
  <c r="F1598" i="1"/>
  <c r="G1598" i="1" s="1"/>
  <c r="F1599" i="1"/>
  <c r="G1599" i="1" s="1"/>
  <c r="F1602" i="1"/>
  <c r="G1602" i="1" s="1"/>
  <c r="F1603" i="1"/>
  <c r="G1603" i="1" s="1"/>
  <c r="F1604" i="1"/>
  <c r="G1604" i="1" s="1"/>
  <c r="F1612" i="1"/>
  <c r="G1612" i="1" s="1"/>
  <c r="F1613" i="1"/>
  <c r="G1613" i="1" s="1"/>
  <c r="F1617" i="1"/>
  <c r="G1617" i="1" s="1"/>
  <c r="F1618" i="1"/>
  <c r="G1618" i="1" s="1"/>
  <c r="F1619" i="1"/>
  <c r="G1619" i="1" s="1"/>
  <c r="F1620" i="1"/>
  <c r="G1620" i="1" s="1"/>
  <c r="F1621" i="1"/>
  <c r="G1621" i="1" s="1"/>
  <c r="F1622" i="1"/>
  <c r="G1622" i="1" s="1"/>
  <c r="F1623" i="1"/>
  <c r="G1623" i="1" s="1"/>
  <c r="F1629" i="1"/>
  <c r="G1629" i="1" s="1"/>
  <c r="F1630" i="1"/>
  <c r="G1630" i="1" s="1"/>
  <c r="F1631" i="1"/>
  <c r="G1631" i="1" s="1"/>
  <c r="F1632" i="1"/>
  <c r="G1632" i="1" s="1"/>
  <c r="F1633" i="1"/>
  <c r="G1633" i="1" s="1"/>
  <c r="F1634" i="1"/>
  <c r="G1634" i="1" s="1"/>
  <c r="F1638" i="1"/>
  <c r="G1638" i="1" s="1"/>
  <c r="F1642" i="1"/>
  <c r="G1642" i="1" s="1"/>
  <c r="F1643" i="1"/>
  <c r="G1643" i="1" s="1"/>
  <c r="F1645" i="1"/>
  <c r="G1645" i="1" s="1"/>
  <c r="F1647" i="1"/>
  <c r="G1647" i="1" s="1"/>
  <c r="F1648" i="1"/>
  <c r="G1648" i="1" s="1"/>
  <c r="F1649" i="1"/>
  <c r="G1649" i="1" s="1"/>
  <c r="F1650" i="1"/>
  <c r="G1650" i="1" s="1"/>
  <c r="F1651" i="1"/>
  <c r="G1651" i="1" s="1"/>
  <c r="F1652" i="1"/>
  <c r="G1652" i="1" s="1"/>
  <c r="F1654" i="1"/>
  <c r="G1654" i="1" s="1"/>
  <c r="F1655" i="1"/>
  <c r="G1655" i="1" s="1"/>
  <c r="F1656" i="1"/>
  <c r="G1656" i="1" s="1"/>
  <c r="F1657" i="1"/>
  <c r="G1657" i="1" s="1"/>
  <c r="F1659" i="1"/>
  <c r="G1659" i="1" s="1"/>
  <c r="F1660" i="1"/>
  <c r="G1660" i="1" s="1"/>
  <c r="F1661" i="1"/>
  <c r="G1661" i="1" s="1"/>
  <c r="F1662" i="1"/>
  <c r="G1662" i="1" s="1"/>
  <c r="F1663" i="1"/>
  <c r="G1663" i="1" s="1"/>
  <c r="F1664" i="1"/>
  <c r="G1664" i="1" s="1"/>
  <c r="F1665" i="1"/>
  <c r="G1665" i="1" s="1"/>
  <c r="F1668" i="1"/>
  <c r="G1668" i="1" s="1"/>
  <c r="F1672" i="1"/>
  <c r="G1672" i="1" s="1"/>
  <c r="F1679" i="1"/>
  <c r="G1679" i="1" s="1"/>
  <c r="F1680" i="1"/>
  <c r="G1680" i="1" s="1"/>
  <c r="F1681" i="1"/>
  <c r="G1681" i="1" s="1"/>
  <c r="F1682" i="1"/>
  <c r="G1682" i="1" s="1"/>
  <c r="F1686" i="1"/>
  <c r="G1686" i="1" s="1"/>
  <c r="F1693" i="1"/>
  <c r="G1693" i="1" s="1"/>
  <c r="F1695" i="1"/>
  <c r="G1695" i="1" s="1"/>
  <c r="F1704" i="1"/>
  <c r="G1704" i="1" s="1"/>
  <c r="F1705" i="1"/>
  <c r="G1705" i="1" s="1"/>
  <c r="F1706" i="1"/>
  <c r="G1706" i="1" s="1"/>
  <c r="F1707" i="1"/>
  <c r="G1707" i="1" s="1"/>
  <c r="F1708" i="1"/>
  <c r="G1708" i="1" s="1"/>
  <c r="F1709" i="1"/>
  <c r="G1709" i="1" s="1"/>
  <c r="F1710" i="1"/>
  <c r="G1710" i="1" s="1"/>
  <c r="F1711" i="1"/>
  <c r="G1711" i="1" s="1"/>
  <c r="F1712" i="1"/>
  <c r="G1712" i="1" s="1"/>
  <c r="F1713" i="1"/>
  <c r="G1713" i="1" s="1"/>
  <c r="F1714" i="1"/>
  <c r="G1714" i="1" s="1"/>
  <c r="F1715" i="1"/>
  <c r="G1715" i="1" s="1"/>
  <c r="F1719" i="1"/>
  <c r="G1719" i="1" s="1"/>
  <c r="F1720" i="1"/>
  <c r="G1720" i="1" s="1"/>
  <c r="F1721" i="1"/>
  <c r="G1721" i="1" s="1"/>
  <c r="F1722" i="1"/>
  <c r="G1722" i="1" s="1"/>
  <c r="F1723" i="1"/>
  <c r="G1723" i="1" s="1"/>
  <c r="F1724" i="1"/>
  <c r="G1724" i="1" s="1"/>
  <c r="F1727" i="1"/>
  <c r="G1727" i="1" s="1"/>
  <c r="F1728" i="1"/>
  <c r="G1728" i="1" s="1"/>
  <c r="F1729" i="1"/>
  <c r="G1729" i="1" s="1"/>
  <c r="F1730" i="1"/>
  <c r="G1730" i="1" s="1"/>
  <c r="F1731" i="1"/>
  <c r="G1731" i="1" s="1"/>
  <c r="F1732" i="1"/>
  <c r="G1732" i="1" s="1"/>
  <c r="F1733" i="1"/>
  <c r="G1733" i="1" s="1"/>
  <c r="F1734" i="1"/>
  <c r="G1734" i="1" s="1"/>
  <c r="F1735" i="1"/>
  <c r="G1735" i="1" s="1"/>
  <c r="F1736" i="1"/>
  <c r="G1736" i="1" s="1"/>
  <c r="F1737" i="1"/>
  <c r="G1737" i="1" s="1"/>
  <c r="F1738" i="1"/>
  <c r="G1738" i="1" s="1"/>
  <c r="F1739" i="1"/>
  <c r="G1739" i="1" s="1"/>
  <c r="F1740" i="1"/>
  <c r="G1740" i="1" s="1"/>
  <c r="F1741" i="1"/>
  <c r="G1741" i="1" s="1"/>
  <c r="F1742" i="1"/>
  <c r="G1742" i="1" s="1"/>
  <c r="F1743" i="1"/>
  <c r="G1743" i="1" s="1"/>
  <c r="F1744" i="1"/>
  <c r="G1744" i="1" s="1"/>
  <c r="F1745" i="1"/>
  <c r="G1745" i="1" s="1"/>
  <c r="F1746" i="1"/>
  <c r="G1746" i="1" s="1"/>
  <c r="F1747" i="1"/>
  <c r="G1747" i="1" s="1"/>
  <c r="F1748" i="1"/>
  <c r="G1748" i="1" s="1"/>
  <c r="F1749" i="1"/>
  <c r="G1749" i="1" s="1"/>
  <c r="F1751" i="1"/>
  <c r="G1751" i="1" s="1"/>
  <c r="F1755" i="1"/>
  <c r="G1755" i="1" s="1"/>
  <c r="F1756" i="1"/>
  <c r="G1756" i="1" s="1"/>
  <c r="F1757" i="1"/>
  <c r="G1757" i="1" s="1"/>
  <c r="F1758" i="1"/>
  <c r="G1758" i="1" s="1"/>
  <c r="F1760" i="1"/>
  <c r="G1760" i="1" s="1"/>
  <c r="F1762" i="1"/>
  <c r="G1762" i="1" s="1"/>
  <c r="F1763" i="1"/>
  <c r="G1763" i="1" s="1"/>
  <c r="F1764" i="1"/>
  <c r="G1764" i="1" s="1"/>
  <c r="F1765" i="1"/>
  <c r="G1765" i="1" s="1"/>
  <c r="F1766" i="1"/>
  <c r="G1766" i="1" s="1"/>
  <c r="F1767" i="1"/>
  <c r="G1767" i="1" s="1"/>
  <c r="F1768" i="1"/>
  <c r="G1768" i="1" s="1"/>
  <c r="F1769" i="1"/>
  <c r="G1769" i="1" s="1"/>
  <c r="F1770" i="1"/>
  <c r="G1770" i="1" s="1"/>
  <c r="F1771" i="1"/>
  <c r="G1771" i="1" s="1"/>
  <c r="F1773" i="1"/>
  <c r="G1773" i="1" s="1"/>
  <c r="F1774" i="1"/>
  <c r="G1774" i="1" s="1"/>
  <c r="F1775" i="1"/>
  <c r="G1775" i="1" s="1"/>
  <c r="F1776" i="1"/>
  <c r="G1776" i="1" s="1"/>
  <c r="F1777" i="1"/>
  <c r="G1777" i="1" s="1"/>
  <c r="F1778" i="1"/>
  <c r="G1778" i="1" s="1"/>
  <c r="F1779" i="1"/>
  <c r="G1779" i="1" s="1"/>
  <c r="F1780" i="1"/>
  <c r="G1780" i="1" s="1"/>
  <c r="F1781" i="1"/>
  <c r="G1781" i="1" s="1"/>
  <c r="F1782" i="1"/>
  <c r="G1782" i="1" s="1"/>
  <c r="F1783" i="1"/>
  <c r="G1783" i="1" s="1"/>
  <c r="F1784" i="1"/>
  <c r="G1784" i="1" s="1"/>
  <c r="F1785" i="1"/>
  <c r="G1785" i="1" s="1"/>
  <c r="F1786" i="1"/>
  <c r="G1786" i="1" s="1"/>
  <c r="B32" i="4"/>
  <c r="B31" i="4"/>
  <c r="B30" i="4"/>
  <c r="E11" i="4"/>
  <c r="D11" i="4"/>
  <c r="C11" i="4"/>
  <c r="B11" i="4"/>
  <c r="E10" i="4"/>
  <c r="D10" i="4"/>
  <c r="C10" i="4"/>
  <c r="B10" i="4"/>
  <c r="E9" i="4"/>
  <c r="D9" i="4"/>
  <c r="C9" i="4"/>
  <c r="B9" i="4"/>
  <c r="E4" i="4"/>
  <c r="D4" i="4"/>
  <c r="C4" i="4"/>
  <c r="B4" i="4"/>
  <c r="E3" i="4"/>
  <c r="D3" i="4"/>
  <c r="C3" i="4"/>
  <c r="B3" i="4"/>
  <c r="E2" i="4"/>
  <c r="D2" i="4"/>
  <c r="C2" i="4"/>
  <c r="B2" i="4"/>
  <c r="F1380" i="1"/>
  <c r="G1380" i="1" s="1"/>
  <c r="F1388" i="1"/>
  <c r="G1388" i="1" s="1"/>
  <c r="F1391" i="1"/>
  <c r="G1391" i="1" s="1"/>
  <c r="F1392" i="1"/>
  <c r="G1392" i="1" s="1"/>
  <c r="F1400" i="1"/>
  <c r="G1400" i="1" s="1"/>
  <c r="F1401" i="1"/>
  <c r="G1401" i="1" s="1"/>
  <c r="F1402" i="1"/>
  <c r="G1402" i="1" s="1"/>
  <c r="F1403" i="1"/>
  <c r="G1403" i="1" s="1"/>
  <c r="F1404" i="1"/>
  <c r="G1404" i="1" s="1"/>
  <c r="F1405" i="1"/>
  <c r="G1405" i="1" s="1"/>
  <c r="F1406" i="1"/>
  <c r="G1406" i="1" s="1"/>
  <c r="F1407" i="1"/>
  <c r="G1407" i="1" s="1"/>
  <c r="F1408" i="1"/>
  <c r="G1408" i="1" s="1"/>
  <c r="F1409" i="1"/>
  <c r="G1409" i="1" s="1"/>
  <c r="F1410" i="1"/>
  <c r="G1410" i="1" s="1"/>
  <c r="F1411" i="1"/>
  <c r="G1411" i="1" s="1"/>
  <c r="F1412" i="1"/>
  <c r="G1412" i="1" s="1"/>
  <c r="F1413" i="1"/>
  <c r="G1413" i="1" s="1"/>
  <c r="F1415" i="1"/>
  <c r="G1415" i="1" s="1"/>
  <c r="F1419" i="1"/>
  <c r="G1419" i="1" s="1"/>
  <c r="F1420" i="1"/>
  <c r="F1422" i="1"/>
  <c r="G1422" i="1" s="1"/>
  <c r="F1424" i="1"/>
  <c r="G1424" i="1" s="1"/>
  <c r="F1425" i="1"/>
  <c r="G1425" i="1" s="1"/>
  <c r="F1426" i="1"/>
  <c r="G1426" i="1" s="1"/>
  <c r="F1427" i="1"/>
  <c r="G1427" i="1" s="1"/>
  <c r="F1428" i="1"/>
  <c r="G1428" i="1" s="1"/>
  <c r="F1429" i="1"/>
  <c r="G1429" i="1" s="1"/>
  <c r="A6" i="4"/>
  <c r="F8" i="1"/>
  <c r="G8" i="1" s="1"/>
  <c r="F15" i="1"/>
  <c r="G15" i="1" s="1"/>
  <c r="F23" i="1"/>
  <c r="G23" i="1" s="1"/>
  <c r="F33" i="1"/>
  <c r="F41" i="1"/>
  <c r="G41" i="1" s="1"/>
  <c r="F50" i="1"/>
  <c r="G50" i="1" s="1"/>
  <c r="F56" i="1"/>
  <c r="G56" i="1" s="1"/>
  <c r="F63" i="1"/>
  <c r="G63" i="1" s="1"/>
  <c r="F71" i="1"/>
  <c r="G71" i="1" s="1"/>
  <c r="F73" i="1"/>
  <c r="G73" i="1" s="1"/>
  <c r="F76" i="1"/>
  <c r="G76" i="1" s="1"/>
  <c r="F78" i="1"/>
  <c r="G78" i="1" s="1"/>
  <c r="F93" i="1"/>
  <c r="G93" i="1" s="1"/>
  <c r="F106" i="1"/>
  <c r="G106" i="1" s="1"/>
  <c r="F127" i="1"/>
  <c r="G127" i="1" s="1"/>
  <c r="F133" i="1"/>
  <c r="G133" i="1" s="1"/>
  <c r="F144" i="1"/>
  <c r="F149" i="1"/>
  <c r="G149" i="1" s="1"/>
  <c r="F156" i="1"/>
  <c r="G156" i="1" s="1"/>
  <c r="F180" i="1"/>
  <c r="G180" i="1" s="1"/>
  <c r="F212" i="1"/>
  <c r="G212" i="1" s="1"/>
  <c r="F217" i="1"/>
  <c r="G217" i="1" s="1"/>
  <c r="F226" i="1"/>
  <c r="G226" i="1" s="1"/>
  <c r="F247" i="1"/>
  <c r="G247" i="1" s="1"/>
  <c r="F248" i="1"/>
  <c r="G248" i="1" s="1"/>
  <c r="F251" i="1"/>
  <c r="G251" i="1" s="1"/>
  <c r="F254" i="1"/>
  <c r="G254" i="1" s="1"/>
  <c r="F258" i="1"/>
  <c r="G258" i="1" s="1"/>
  <c r="F271" i="1"/>
  <c r="G271" i="1" s="1"/>
  <c r="F277" i="1"/>
  <c r="F286" i="1"/>
  <c r="G286" i="1" s="1"/>
  <c r="F287" i="1"/>
  <c r="G287" i="1" s="1"/>
  <c r="F293" i="1"/>
  <c r="G293" i="1" s="1"/>
  <c r="F294" i="1"/>
  <c r="G294" i="1" s="1"/>
  <c r="F295" i="1"/>
  <c r="F297" i="1"/>
  <c r="G297" i="1" s="1"/>
  <c r="F298" i="1"/>
  <c r="G298" i="1" s="1"/>
  <c r="F300" i="1"/>
  <c r="G300" i="1" s="1"/>
  <c r="F324" i="1"/>
  <c r="G324" i="1" s="1"/>
  <c r="F356" i="1"/>
  <c r="G356" i="1" s="1"/>
  <c r="F358" i="1"/>
  <c r="G358" i="1" s="1"/>
  <c r="F359" i="1"/>
  <c r="G359" i="1" s="1"/>
  <c r="F360" i="1"/>
  <c r="G360" i="1" s="1"/>
  <c r="F361" i="1"/>
  <c r="G361" i="1" s="1"/>
  <c r="F365" i="1"/>
  <c r="G365" i="1" s="1"/>
  <c r="F386" i="1"/>
  <c r="G386" i="1" s="1"/>
  <c r="F435" i="1"/>
  <c r="F444" i="1"/>
  <c r="F448" i="1"/>
  <c r="G448" i="1" s="1"/>
  <c r="F452" i="1"/>
  <c r="G452" i="1" s="1"/>
  <c r="F466" i="1"/>
  <c r="F478" i="1"/>
  <c r="G478" i="1" s="1"/>
  <c r="F487" i="1"/>
  <c r="G487" i="1" s="1"/>
  <c r="F490" i="1"/>
  <c r="G490" i="1" s="1"/>
  <c r="F505" i="1"/>
  <c r="G505" i="1" s="1"/>
  <c r="F506" i="1"/>
  <c r="G506" i="1" s="1"/>
  <c r="F515" i="1"/>
  <c r="G515" i="1" s="1"/>
  <c r="F516" i="1"/>
  <c r="G516" i="1" s="1"/>
  <c r="F519" i="1"/>
  <c r="F521" i="1"/>
  <c r="G521" i="1" s="1"/>
  <c r="F524" i="1"/>
  <c r="F529" i="1"/>
  <c r="G529" i="1" s="1"/>
  <c r="F531" i="1"/>
  <c r="G531" i="1" s="1"/>
  <c r="F533" i="1"/>
  <c r="F543" i="1"/>
  <c r="G543" i="1" s="1"/>
  <c r="F552" i="1"/>
  <c r="G552" i="1" s="1"/>
  <c r="F560" i="1"/>
  <c r="G560" i="1" s="1"/>
  <c r="F562" i="1"/>
  <c r="G562" i="1" s="1"/>
  <c r="F567" i="1"/>
  <c r="G567" i="1" s="1"/>
  <c r="F572" i="1"/>
  <c r="G572" i="1" s="1"/>
  <c r="F582" i="1"/>
  <c r="G582" i="1" s="1"/>
  <c r="F586" i="1"/>
  <c r="G586" i="1" s="1"/>
  <c r="F596" i="1"/>
  <c r="G596" i="1" s="1"/>
  <c r="F603" i="1"/>
  <c r="G603" i="1" s="1"/>
  <c r="F604" i="1"/>
  <c r="G604" i="1" s="1"/>
  <c r="F605" i="1"/>
  <c r="G605" i="1" s="1"/>
  <c r="F608" i="1"/>
  <c r="G608" i="1" s="1"/>
  <c r="F610" i="1"/>
  <c r="G610" i="1" s="1"/>
  <c r="F641" i="1"/>
  <c r="F643" i="1"/>
  <c r="G643" i="1" s="1"/>
  <c r="F654" i="1"/>
  <c r="G654" i="1" s="1"/>
  <c r="F686" i="1"/>
  <c r="F698" i="1"/>
  <c r="G698" i="1" s="1"/>
  <c r="F700" i="1"/>
  <c r="G700" i="1" s="1"/>
  <c r="F706" i="1"/>
  <c r="G706" i="1" s="1"/>
  <c r="F725" i="1"/>
  <c r="G725" i="1" s="1"/>
  <c r="F730" i="1"/>
  <c r="G730" i="1" s="1"/>
  <c r="F735" i="1"/>
  <c r="F741" i="1"/>
  <c r="G741" i="1" s="1"/>
  <c r="F744" i="1"/>
  <c r="F746" i="1"/>
  <c r="G746" i="1" s="1"/>
  <c r="F747" i="1"/>
  <c r="G747" i="1" s="1"/>
  <c r="F760" i="1"/>
  <c r="G760" i="1" s="1"/>
  <c r="F762" i="1"/>
  <c r="F767" i="1"/>
  <c r="G767" i="1" s="1"/>
  <c r="F789" i="1"/>
  <c r="G789" i="1" s="1"/>
  <c r="F790" i="1"/>
  <c r="G790" i="1" s="1"/>
  <c r="F791" i="1"/>
  <c r="G791" i="1" s="1"/>
  <c r="F792" i="1"/>
  <c r="G792" i="1" s="1"/>
  <c r="F795" i="1"/>
  <c r="G795" i="1" s="1"/>
  <c r="F796" i="1"/>
  <c r="G796" i="1" s="1"/>
  <c r="F804" i="1"/>
  <c r="F817" i="1"/>
  <c r="G817" i="1" s="1"/>
  <c r="F823" i="1"/>
  <c r="G823" i="1" s="1"/>
  <c r="F826" i="1"/>
  <c r="G826" i="1" s="1"/>
  <c r="F830" i="1"/>
  <c r="G830" i="1" s="1"/>
  <c r="F842" i="1"/>
  <c r="G842" i="1" s="1"/>
  <c r="F844" i="1"/>
  <c r="G844" i="1" s="1"/>
  <c r="F845" i="1"/>
  <c r="G845" i="1" s="1"/>
  <c r="F854" i="1"/>
  <c r="G854" i="1" s="1"/>
  <c r="F865" i="1"/>
  <c r="G865" i="1" s="1"/>
  <c r="F866" i="1"/>
  <c r="G866" i="1" s="1"/>
  <c r="F875" i="1"/>
  <c r="G875" i="1" s="1"/>
  <c r="F885" i="1"/>
  <c r="G885" i="1" s="1"/>
  <c r="F898" i="1"/>
  <c r="G898" i="1" s="1"/>
  <c r="F914" i="1"/>
  <c r="G914" i="1" s="1"/>
  <c r="F918" i="1"/>
  <c r="G918" i="1" s="1"/>
  <c r="F927" i="1"/>
  <c r="G927" i="1" s="1"/>
  <c r="F929" i="1"/>
  <c r="G929" i="1" s="1"/>
  <c r="F936" i="1"/>
  <c r="F937" i="1"/>
  <c r="G937" i="1" s="1"/>
  <c r="F942" i="1"/>
  <c r="G942" i="1" s="1"/>
  <c r="F948" i="1"/>
  <c r="G948" i="1" s="1"/>
  <c r="F953" i="1"/>
  <c r="G953" i="1" s="1"/>
  <c r="F955" i="1"/>
  <c r="G955" i="1" s="1"/>
  <c r="F963" i="1"/>
  <c r="G963" i="1" s="1"/>
  <c r="F970" i="1"/>
  <c r="G970" i="1" s="1"/>
  <c r="F973" i="1"/>
  <c r="G973" i="1" s="1"/>
  <c r="F977" i="1"/>
  <c r="G977" i="1" s="1"/>
  <c r="F978" i="1"/>
  <c r="G978" i="1" s="1"/>
  <c r="F980" i="1"/>
  <c r="G980" i="1" s="1"/>
  <c r="F981" i="1"/>
  <c r="G981" i="1" s="1"/>
  <c r="F984" i="1"/>
  <c r="G984" i="1" s="1"/>
  <c r="F998" i="1"/>
  <c r="G998" i="1" s="1"/>
  <c r="F1006" i="1"/>
  <c r="F1009" i="1"/>
  <c r="G1009" i="1" s="1"/>
  <c r="F1017" i="1"/>
  <c r="G1017" i="1" s="1"/>
  <c r="F1023" i="1"/>
  <c r="G1023" i="1" s="1"/>
  <c r="F1025" i="1"/>
  <c r="G1025" i="1" s="1"/>
  <c r="F1026" i="1"/>
  <c r="F1030" i="1"/>
  <c r="G1030" i="1" s="1"/>
  <c r="F1040" i="1"/>
  <c r="G1040" i="1" s="1"/>
  <c r="F1053" i="1"/>
  <c r="F1055" i="1"/>
  <c r="G1055" i="1" s="1"/>
  <c r="F1057" i="1"/>
  <c r="G1057" i="1" s="1"/>
  <c r="F1068" i="1"/>
  <c r="G1068" i="1" s="1"/>
  <c r="F1084" i="1"/>
  <c r="G1084" i="1" s="1"/>
  <c r="F1091" i="1"/>
  <c r="F1108" i="1"/>
  <c r="G1108" i="1" s="1"/>
  <c r="F1115" i="1"/>
  <c r="G1115" i="1" s="1"/>
  <c r="F1127" i="1"/>
  <c r="F1129" i="1"/>
  <c r="F1145" i="1"/>
  <c r="G1145" i="1" s="1"/>
  <c r="F1156" i="1"/>
  <c r="G1156" i="1" s="1"/>
  <c r="F1165" i="1"/>
  <c r="G1165" i="1" s="1"/>
  <c r="F1166" i="1"/>
  <c r="G1166" i="1" s="1"/>
  <c r="F1176" i="1"/>
  <c r="G1176" i="1" s="1"/>
  <c r="F1183" i="1"/>
  <c r="G1183" i="1" s="1"/>
  <c r="F1184" i="1"/>
  <c r="G1184" i="1" s="1"/>
  <c r="F1186" i="1"/>
  <c r="G1186" i="1" s="1"/>
  <c r="F1200" i="1"/>
  <c r="G1200" i="1" s="1"/>
  <c r="F1204" i="1"/>
  <c r="G1204" i="1" s="1"/>
  <c r="F1205" i="1"/>
  <c r="G1205" i="1" s="1"/>
  <c r="F1206" i="1"/>
  <c r="G1206" i="1" s="1"/>
  <c r="F1207" i="1"/>
  <c r="G1207" i="1" s="1"/>
  <c r="F1208" i="1"/>
  <c r="F1210" i="1"/>
  <c r="G1210" i="1" s="1"/>
  <c r="F1214" i="1"/>
  <c r="G1214" i="1" s="1"/>
  <c r="F1215" i="1"/>
  <c r="G1215" i="1" s="1"/>
  <c r="F1216" i="1"/>
  <c r="G1216" i="1" s="1"/>
  <c r="F1217" i="1"/>
  <c r="G1217" i="1" s="1"/>
  <c r="F1218" i="1"/>
  <c r="G1218" i="1" s="1"/>
  <c r="F1219" i="1"/>
  <c r="G1219" i="1" s="1"/>
  <c r="F1220" i="1"/>
  <c r="G1220" i="1" s="1"/>
  <c r="F1221" i="1"/>
  <c r="G1221" i="1" s="1"/>
  <c r="F1222" i="1"/>
  <c r="G1222" i="1" s="1"/>
  <c r="F1223" i="1"/>
  <c r="G1223" i="1" s="1"/>
  <c r="F1224" i="1"/>
  <c r="G1224" i="1" s="1"/>
  <c r="F1226" i="1"/>
  <c r="G1226" i="1" s="1"/>
  <c r="F1230" i="1"/>
  <c r="G1230" i="1" s="1"/>
  <c r="F1231" i="1"/>
  <c r="G1231" i="1" s="1"/>
  <c r="F1241" i="1"/>
  <c r="G1241" i="1" s="1"/>
  <c r="F1243" i="1"/>
  <c r="G1243" i="1" s="1"/>
  <c r="F1244" i="1"/>
  <c r="G1244" i="1" s="1"/>
  <c r="F1245" i="1"/>
  <c r="G1245" i="1" s="1"/>
  <c r="F1246" i="1"/>
  <c r="G1246" i="1" s="1"/>
  <c r="F1248" i="1"/>
  <c r="G1248" i="1" s="1"/>
  <c r="F1249" i="1"/>
  <c r="G1249" i="1" s="1"/>
  <c r="F1250" i="1"/>
  <c r="G1250" i="1" s="1"/>
  <c r="F1257" i="1"/>
  <c r="G1257" i="1" s="1"/>
  <c r="F1271" i="1"/>
  <c r="G1271" i="1" s="1"/>
  <c r="F1276" i="1"/>
  <c r="G1276" i="1" s="1"/>
  <c r="F1277" i="1"/>
  <c r="G1277" i="1" s="1"/>
  <c r="F1287" i="1"/>
  <c r="G1287" i="1" s="1"/>
  <c r="F1302" i="1"/>
  <c r="G1302" i="1" s="1"/>
  <c r="F1304" i="1"/>
  <c r="G1304" i="1" s="1"/>
  <c r="F1307" i="1"/>
  <c r="G1307" i="1" s="1"/>
  <c r="F1309" i="1"/>
  <c r="G1309" i="1" s="1"/>
  <c r="F1311" i="1"/>
  <c r="G1311" i="1" s="1"/>
  <c r="F1313" i="1"/>
  <c r="G1313" i="1" s="1"/>
  <c r="F1315" i="1"/>
  <c r="G1315" i="1" s="1"/>
  <c r="F1317" i="1"/>
  <c r="G1317" i="1" s="1"/>
  <c r="F1318" i="1"/>
  <c r="G1318" i="1" s="1"/>
  <c r="F1320" i="1"/>
  <c r="G1320" i="1" s="1"/>
  <c r="F1321" i="1"/>
  <c r="G1321" i="1" s="1"/>
  <c r="F1322" i="1"/>
  <c r="G1322" i="1" s="1"/>
  <c r="F1323" i="1"/>
  <c r="G1323" i="1" s="1"/>
  <c r="F1324" i="1"/>
  <c r="G1324" i="1" s="1"/>
  <c r="F1325" i="1"/>
  <c r="G1325" i="1" s="1"/>
  <c r="F1327" i="1"/>
  <c r="G1327" i="1" s="1"/>
  <c r="F1330" i="1"/>
  <c r="G1330" i="1" s="1"/>
  <c r="F1331" i="1"/>
  <c r="G1331" i="1" s="1"/>
  <c r="F1332" i="1"/>
  <c r="G1332" i="1" s="1"/>
  <c r="F1333" i="1"/>
  <c r="G1333" i="1" s="1"/>
  <c r="F1334" i="1"/>
  <c r="G1334" i="1" s="1"/>
  <c r="F1335" i="1"/>
  <c r="G1335" i="1" s="1"/>
  <c r="F1336" i="1"/>
  <c r="G1336" i="1" s="1"/>
  <c r="F1337" i="1"/>
  <c r="G1337" i="1" s="1"/>
  <c r="F1338" i="1"/>
  <c r="G1338" i="1" s="1"/>
  <c r="F1339" i="1"/>
  <c r="G1339" i="1" s="1"/>
  <c r="F1340" i="1"/>
  <c r="G1340" i="1" s="1"/>
  <c r="F1342" i="1"/>
  <c r="G1342" i="1" s="1"/>
  <c r="F1347" i="1"/>
  <c r="G1347" i="1" s="1"/>
  <c r="F1348" i="1"/>
  <c r="G1348" i="1" s="1"/>
  <c r="F1349" i="1"/>
  <c r="G1349" i="1" s="1"/>
  <c r="F1353" i="1"/>
  <c r="G1353" i="1" s="1"/>
  <c r="F1356" i="1"/>
  <c r="G1356" i="1" s="1"/>
  <c r="F1357" i="1"/>
  <c r="G1357" i="1" s="1"/>
  <c r="F1358" i="1"/>
  <c r="G1358" i="1" s="1"/>
  <c r="F1362" i="1"/>
  <c r="G1362" i="1" s="1"/>
  <c r="F1363" i="1"/>
  <c r="G1363" i="1" s="1"/>
  <c r="F1364" i="1"/>
  <c r="G1364" i="1" s="1"/>
  <c r="F1366" i="1"/>
  <c r="G1366" i="1" s="1"/>
  <c r="F1372" i="1"/>
  <c r="G1372" i="1" s="1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F5" i="4" l="1"/>
  <c r="F12" i="4"/>
  <c r="C30" i="4"/>
  <c r="C31" i="4"/>
  <c r="C32" i="4"/>
  <c r="B32" i="9"/>
  <c r="B2" i="9"/>
  <c r="D12" i="4"/>
  <c r="D5" i="4"/>
  <c r="C5" i="4"/>
  <c r="E5" i="4"/>
  <c r="E12" i="4"/>
  <c r="C12" i="4"/>
  <c r="B39" i="9"/>
  <c r="B45" i="9"/>
  <c r="B38" i="9"/>
  <c r="B25" i="9"/>
  <c r="B16" i="9"/>
  <c r="B9" i="9"/>
  <c r="B8" i="9"/>
  <c r="B54" i="9"/>
  <c r="B46" i="9"/>
  <c r="B44" i="9"/>
  <c r="B18" i="9"/>
  <c r="B10" i="9"/>
  <c r="B53" i="9"/>
  <c r="B33" i="9"/>
  <c r="B31" i="9"/>
  <c r="B26" i="9"/>
  <c r="B24" i="9"/>
  <c r="B52" i="9"/>
  <c r="B37" i="9"/>
  <c r="B17" i="9"/>
  <c r="B59" i="9"/>
  <c r="B15" i="9"/>
  <c r="B58" i="9"/>
  <c r="B50" i="9"/>
  <c r="B43" i="9"/>
  <c r="B30" i="9"/>
  <c r="B22" i="9"/>
  <c r="B14" i="9"/>
  <c r="B7" i="9"/>
  <c r="B57" i="9"/>
  <c r="B49" i="9"/>
  <c r="B42" i="9"/>
  <c r="B35" i="9"/>
  <c r="B29" i="9"/>
  <c r="B21" i="9"/>
  <c r="B13" i="9"/>
  <c r="B6" i="9"/>
  <c r="B51" i="9"/>
  <c r="B36" i="9"/>
  <c r="B23" i="9"/>
  <c r="B56" i="9"/>
  <c r="B48" i="9"/>
  <c r="B41" i="9"/>
  <c r="B34" i="9"/>
  <c r="B28" i="9"/>
  <c r="B20" i="9"/>
  <c r="B12" i="9"/>
  <c r="B5" i="9"/>
  <c r="B55" i="9"/>
  <c r="B47" i="9"/>
  <c r="B40" i="9"/>
  <c r="B27" i="9"/>
  <c r="B19" i="9"/>
  <c r="B11" i="9"/>
  <c r="B4" i="9"/>
  <c r="B3" i="9"/>
  <c r="F32" i="4"/>
  <c r="F31" i="4"/>
  <c r="F30" i="4"/>
  <c r="B5" i="4"/>
  <c r="C23" i="4" s="1"/>
  <c r="B12" i="4"/>
  <c r="D23" i="4" l="1"/>
  <c r="D25" i="4"/>
  <c r="C25" i="4"/>
  <c r="A16" i="4"/>
  <c r="B33" i="4"/>
  <c r="E23" i="4" l="1"/>
  <c r="E25" i="4"/>
  <c r="F33" i="4"/>
  <c r="D30" i="4"/>
  <c r="E30" i="4"/>
  <c r="E32" i="4" l="1"/>
  <c r="D32" i="4"/>
  <c r="E31" i="4"/>
  <c r="D31" i="4"/>
  <c r="C33" i="4"/>
  <c r="E26" i="4" l="1"/>
  <c r="E33" i="4"/>
  <c r="D33" i="4"/>
  <c r="G31" i="4"/>
  <c r="G30" i="4"/>
  <c r="G32" i="4"/>
  <c r="G33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Mogol, Jedeza May</author>
  </authors>
  <commentList>
    <comment ref="A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Mogol, Jedeza May:</t>
        </r>
        <r>
          <rPr>
            <sz val="9"/>
            <color indexed="81"/>
            <rFont val="Tahoma"/>
            <family val="2"/>
          </rPr>
          <t xml:space="preserve">
formula for last row of non-blank cell in Member List sheet</t>
        </r>
      </text>
    </comment>
  </commentList>
</comments>
</file>

<file path=xl/sharedStrings.xml><?xml version="1.0" encoding="utf-8"?>
<sst xmlns="http://schemas.openxmlformats.org/spreadsheetml/2006/main" count="7225" uniqueCount="3594">
  <si>
    <t>Participants Count</t>
  </si>
  <si>
    <t>Wildlife Part 1
(1.5 Hrs)</t>
  </si>
  <si>
    <t>Wildlife Part 2
(1 Hr)</t>
  </si>
  <si>
    <t>Jackbox Party
(1 Hr)</t>
  </si>
  <si>
    <t>Love Radio
(1.5 Hrs)</t>
  </si>
  <si>
    <t>Cooking Session
(1 Hr)</t>
  </si>
  <si>
    <t>JDU (MNL &amp; CEBU)</t>
  </si>
  <si>
    <t>APPS DEV (MNL &amp; CEBU)</t>
  </si>
  <si>
    <t>BPS (MNL &amp; CEBU)</t>
  </si>
  <si>
    <t>TOTAL PARTICIPANTS</t>
  </si>
  <si>
    <t>Note: Please change the heading color based from Pillars</t>
  </si>
  <si>
    <t>Hours Count</t>
  </si>
  <si>
    <t>TOTAL HOURS COUNT</t>
  </si>
  <si>
    <t>Count of ALL Manager Attendees:</t>
  </si>
  <si>
    <t>PILLARS</t>
  </si>
  <si>
    <r>
      <t xml:space="preserve">KPI Hr/FTE/FY
</t>
    </r>
    <r>
      <rPr>
        <b/>
        <sz val="8"/>
        <color theme="1"/>
        <rFont val="Calibri"/>
        <family val="2"/>
        <scheme val="minor"/>
      </rPr>
      <t>(As of FY2021)</t>
    </r>
  </si>
  <si>
    <t>Number of Participants</t>
  </si>
  <si>
    <t>Total Hours Spent of Participants</t>
  </si>
  <si>
    <t>Total Hours Result over Total Members</t>
  </si>
  <si>
    <t>Community</t>
  </si>
  <si>
    <t>-</t>
  </si>
  <si>
    <t>Diversity &amp; Inclusion</t>
  </si>
  <si>
    <t>Environment</t>
  </si>
  <si>
    <t>Operating Practices</t>
  </si>
  <si>
    <t>Wellbeing</t>
  </si>
  <si>
    <t>TOTAL</t>
  </si>
  <si>
    <r>
      <t xml:space="preserve">JP RBU
</t>
    </r>
    <r>
      <rPr>
        <sz val="8"/>
        <color theme="1"/>
        <rFont val="Calibri"/>
        <family val="2"/>
        <scheme val="minor"/>
      </rPr>
      <t>*WSJ not included</t>
    </r>
  </si>
  <si>
    <t>*Total Members</t>
  </si>
  <si>
    <t>Total Members Participated</t>
  </si>
  <si>
    <t>% over Total JP RBU Members</t>
  </si>
  <si>
    <t>% over Total Members/Dept</t>
  </si>
  <si>
    <t>TOTAL HOURS Participation</t>
  </si>
  <si>
    <t>Total Hours Contributed on KPI</t>
  </si>
  <si>
    <t>GRAND TOTAL</t>
  </si>
  <si>
    <t>No</t>
  </si>
  <si>
    <t>Name</t>
  </si>
  <si>
    <t>Email Address</t>
  </si>
  <si>
    <t>Department</t>
  </si>
  <si>
    <t>Dept Orig</t>
  </si>
  <si>
    <t>TOTAL Min
(Approx)</t>
  </si>
  <si>
    <t>TOTAL HR</t>
  </si>
  <si>
    <t>TechTok 0304
(0.5 Hrs)</t>
  </si>
  <si>
    <t>TechTok 0311
(0.5 Hrs)</t>
  </si>
  <si>
    <t>TechTok 0318
(0.5 Hrs)</t>
  </si>
  <si>
    <t>TechTok 0325
(0.5 Hrs)</t>
  </si>
  <si>
    <t>Abad, Kenneth</t>
  </si>
  <si>
    <t>k.abad@fujitsu.com</t>
  </si>
  <si>
    <t>JDU</t>
  </si>
  <si>
    <t>JDU-AS MNL</t>
  </si>
  <si>
    <t>Abangan, Ben William</t>
  </si>
  <si>
    <t>bw.abangan@fujitsu.com</t>
  </si>
  <si>
    <t>JDU-AS CEB</t>
  </si>
  <si>
    <t>Abarquez, Elibar</t>
  </si>
  <si>
    <t>e.abarquez@fujitsu.com</t>
  </si>
  <si>
    <t>Abegania, Aaron Dave</t>
  </si>
  <si>
    <t>aarondave.abegania@fujitsu.com</t>
  </si>
  <si>
    <t>JDU-AMS MNL</t>
  </si>
  <si>
    <t>Abelgas, Arlene Jane</t>
  </si>
  <si>
    <t>aj.abelgas@fujitsu.com</t>
  </si>
  <si>
    <t>Abella, Rixon Jeuz</t>
  </si>
  <si>
    <t>r.abella@fujitsu.com</t>
  </si>
  <si>
    <t>JDU-ITH MNL</t>
  </si>
  <si>
    <t>Abella, Mara Aileen</t>
  </si>
  <si>
    <t>m.abella@fujitsu.com</t>
  </si>
  <si>
    <t>Apps Dev</t>
  </si>
  <si>
    <t>Apps Dev CEB</t>
  </si>
  <si>
    <t>Abella, Ephraim</t>
  </si>
  <si>
    <t>ec.abella@fujitsu.com</t>
  </si>
  <si>
    <t>Abellanida, Kevin John</t>
  </si>
  <si>
    <t>k.abellanida@fujitsu.com</t>
  </si>
  <si>
    <t>Abellanosa, Aaron James</t>
  </si>
  <si>
    <t>a.abellanosa@fujitsu.com</t>
  </si>
  <si>
    <t>Abiad, Danniel</t>
  </si>
  <si>
    <t>d.abiad@fujitsu.com</t>
  </si>
  <si>
    <t>Abillon, Rebelyn</t>
  </si>
  <si>
    <t>r.abillon@fujitsu.com</t>
  </si>
  <si>
    <t>JDU-GREAT CEB</t>
  </si>
  <si>
    <t>Abon, Lito Jr.</t>
  </si>
  <si>
    <t>l.abon@fujitsu.com</t>
  </si>
  <si>
    <t>JDU-A2S CEB</t>
  </si>
  <si>
    <t>Abonales, Ivy Mariz</t>
  </si>
  <si>
    <t>ivymariz.abonales@fujitsu.com</t>
  </si>
  <si>
    <t>BPS</t>
  </si>
  <si>
    <t>Apps Dev CEB-BPS</t>
  </si>
  <si>
    <t>Abraham, Christine Joy</t>
  </si>
  <si>
    <t>cj.abraham@fujitsu.com</t>
  </si>
  <si>
    <t>JDU-ITH GREAT MNL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</si>
  <si>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</si>
  <si>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</si>
  <si>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</si>
  <si>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</si>
  <si>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</si>
  <si>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</si>
  <si>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Abulencia, Daryl Louie</t>
  </si>
  <si>
    <t>D.Abulencia@fujitsu.com</t>
  </si>
  <si>
    <t>Acaylar, Manell Ian</t>
  </si>
  <si>
    <t>m.acaylar@fujitsu.com</t>
  </si>
  <si>
    <t>Acueza, Alexander Benedict</t>
  </si>
  <si>
    <t>a.acueza@fujitsu.com</t>
  </si>
  <si>
    <t>Acuin, Paule Glenn</t>
  </si>
  <si>
    <t>p.acuin@fujitsu.com</t>
  </si>
  <si>
    <t>Adlaon, Gester Bryan</t>
  </si>
  <si>
    <t>gb.adlaon@fujitsu.com</t>
  </si>
  <si>
    <t>Agra, Enric Jeims</t>
  </si>
  <si>
    <t>ej.agra@fujitsu.com</t>
  </si>
  <si>
    <t>JDU-A2S MNL</t>
  </si>
  <si>
    <t>Agravante, Carlos Giovanni</t>
  </si>
  <si>
    <t>c.agravante@fujitsu.com</t>
  </si>
  <si>
    <t>Agudo, Floyd</t>
  </si>
  <si>
    <t>f.agudo@fujitsu.com</t>
  </si>
  <si>
    <t>Aguila, Lloyd Anthony</t>
  </si>
  <si>
    <t>lloydanthony.aguila@fujitsu.com</t>
  </si>
  <si>
    <t>Aguilar, Rowela</t>
  </si>
  <si>
    <t>ro.aguilar@fujitsu.com</t>
  </si>
  <si>
    <t>Aguilar, Mareus Angelino</t>
  </si>
  <si>
    <t>ma.aguilar@fujitsu.com</t>
  </si>
  <si>
    <t>JDU-AMS CEB</t>
  </si>
  <si>
    <t>Aguinaldo, Melchizedek</t>
  </si>
  <si>
    <t>mi.aguinaldo@fujitsu.com</t>
  </si>
  <si>
    <t>Agulto, Rosslynn-Anne</t>
  </si>
  <si>
    <t>ra.agulto@fujitsu.com</t>
  </si>
  <si>
    <t>Akimoto-Lavides, Youki</t>
  </si>
  <si>
    <t>y.lavides@fujitsu.com</t>
  </si>
  <si>
    <t>WSJ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</si>
  <si>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</si>
  <si>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</si>
  <si>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</si>
  <si>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</si>
  <si>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</si>
  <si>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</si>
  <si>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</si>
  <si>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</si>
  <si>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</si>
  <si>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</si>
  <si>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Alcala, Randy</t>
  </si>
  <si>
    <t>r.alcala@fujitsu.com</t>
  </si>
  <si>
    <t>Alcano, Melchezedik</t>
  </si>
  <si>
    <t>me.alcano@fujitsu.com</t>
  </si>
  <si>
    <t>Alcantara, Mary Ann</t>
  </si>
  <si>
    <t>ma.alcantara@fujitsu.com</t>
  </si>
  <si>
    <t>Apps Dev MNL-BPS</t>
  </si>
  <si>
    <t>Alcayde, Angie</t>
  </si>
  <si>
    <t>a.alcayde@fujitsu.com</t>
  </si>
  <si>
    <t>Alejandria, Shella Marie</t>
  </si>
  <si>
    <t>shellamarie.alejandria@fujitsu.com</t>
  </si>
  <si>
    <t>Alerta, Rheindell</t>
  </si>
  <si>
    <t>r.alerta@fujitsu.com</t>
  </si>
  <si>
    <t>JDU-ITH GREAT CEB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</si>
  <si>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</si>
  <si>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</si>
  <si>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</si>
  <si>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</si>
  <si>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</si>
  <si>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</si>
  <si>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Alilio, Joesarmiegh</t>
  </si>
  <si>
    <t>joesarmiegh.alilio@fujitsu.com</t>
  </si>
  <si>
    <t>Alipala, Charlie</t>
  </si>
  <si>
    <t>charlie.alipala@fujitsu.com</t>
  </si>
  <si>
    <t>Alipusan, John Menard</t>
  </si>
  <si>
    <t>jm.alipusan@fujitsu.com</t>
  </si>
  <si>
    <t>Alogon, Jessah Mae</t>
  </si>
  <si>
    <t>jm.alogon@fujitsu.com</t>
  </si>
  <si>
    <t>Aloria, Evangeline</t>
  </si>
  <si>
    <t>evangeline.aloria@fujitsu.com</t>
  </si>
  <si>
    <t>Alpas, Moses Aaron</t>
  </si>
  <si>
    <t>ma.alpas@fujitsu.com</t>
  </si>
  <si>
    <t>Altuna, Chester Lewis</t>
  </si>
  <si>
    <t>c.altuna@fujitsu.com</t>
  </si>
  <si>
    <t>Alvarez, Jeanne Ann</t>
  </si>
  <si>
    <t>jg.alvarez@fujitsu.com</t>
  </si>
  <si>
    <t>Amaca, George Paul</t>
  </si>
  <si>
    <t>g.amaca@fujitsu.com</t>
  </si>
  <si>
    <t>Amado, Lawrence</t>
  </si>
  <si>
    <t>l.amado@fujitsu.com</t>
  </si>
  <si>
    <t>Amar, Allen</t>
  </si>
  <si>
    <t>allen.amar@fujitsu.com</t>
  </si>
  <si>
    <t>Ambas, John Michael</t>
  </si>
  <si>
    <t>j.ambas@fujitsu.com</t>
  </si>
  <si>
    <t>Ambrad, John Mark</t>
  </si>
  <si>
    <t>jm.ambrad@fujitsu.com</t>
  </si>
  <si>
    <t>Ambrocio, Leah Mica</t>
  </si>
  <si>
    <t>leahmica.ambrocio@fujitsu.com</t>
  </si>
  <si>
    <t>Amoguiz, Cherry Ann</t>
  </si>
  <si>
    <t>c.amoguiz@fujitsu.com</t>
  </si>
  <si>
    <t>Amortizado, Jmevic</t>
  </si>
  <si>
    <t>jmevic.amortizado@fujitsu.com</t>
  </si>
  <si>
    <t>Apps Dev MNL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</si>
  <si>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</si>
  <si>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</si>
  <si>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</si>
  <si>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</si>
  <si>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</si>
  <si>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</si>
  <si>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Analo, Raquiza</t>
  </si>
  <si>
    <t>r.analo@fujitsu.com</t>
  </si>
  <si>
    <t>Anderson, Shania</t>
  </si>
  <si>
    <t>s.anderson@fujitsu.com</t>
  </si>
  <si>
    <t>Andrada, Lyndon</t>
  </si>
  <si>
    <t>l.andrada@fujitsu.com</t>
  </si>
  <si>
    <t>Andrade, Edralyn Lorenz</t>
  </si>
  <si>
    <t>e.andrade@fujitsu.com</t>
  </si>
  <si>
    <t>Angara, Mary Rose</t>
  </si>
  <si>
    <t>m.angara@fujitsu.com</t>
  </si>
  <si>
    <t>Anghad, Janice</t>
  </si>
  <si>
    <t>ja.anghad@fujitsu.com</t>
  </si>
  <si>
    <t>JDU-ITH A2S MNL</t>
  </si>
  <si>
    <t>Anonas, Noel</t>
  </si>
  <si>
    <t>n.anonas@fujitsu.com</t>
  </si>
  <si>
    <t>Apuada, Rainier Alfred</t>
  </si>
  <si>
    <t>r.apuada@fujitsu.com</t>
  </si>
  <si>
    <t>Aquino, Arantxa Alec</t>
  </si>
  <si>
    <t>aa.aquino@fujitsu.com</t>
  </si>
  <si>
    <t>Aquino, Kristine Dwight Daniel</t>
  </si>
  <si>
    <t>kristinedwightdaniel.aquino@fujitsu.com</t>
  </si>
  <si>
    <t>Arambala, Rex Urbie</t>
  </si>
  <si>
    <t>r.arambala@fujitsu.com</t>
  </si>
  <si>
    <t>Arañas, Michael June</t>
  </si>
  <si>
    <t>m.aranas@fujitsu.com</t>
  </si>
  <si>
    <t>Arañas, Glyniesse Marie</t>
  </si>
  <si>
    <t>gm.aranas@fujitsu.com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</si>
  <si>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</si>
  <si>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</si>
  <si>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</si>
  <si>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</si>
  <si>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</si>
  <si>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</si>
  <si>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Araza, Coleen Meir</t>
  </si>
  <si>
    <t>c.araza@fujitsu.com</t>
  </si>
  <si>
    <t>Arcel, Anthony Kevin</t>
  </si>
  <si>
    <t>a.arcel@fujitsu.com</t>
  </si>
  <si>
    <t>Arellano, Minette</t>
  </si>
  <si>
    <t>m.arellano@fujitsu.com</t>
  </si>
  <si>
    <t>Arellano, Jeric Allen</t>
  </si>
  <si>
    <t>je.arellano@fujitsu.com</t>
  </si>
  <si>
    <t>Arellano, John Mergene</t>
  </si>
  <si>
    <t>johnmergene.arellano@fujitsu.com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</si>
  <si>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</si>
  <si>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</si>
  <si>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</si>
  <si>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</si>
  <si>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</si>
  <si>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</si>
  <si>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Arnoco, Karen</t>
  </si>
  <si>
    <t>k.arnoco@fujitsu.com</t>
  </si>
  <si>
    <t>Aseñas, Jamelah Rose</t>
  </si>
  <si>
    <t>jamelahrose.asenas@fujitsu.com</t>
  </si>
  <si>
    <t>Asistores, Marinel</t>
  </si>
  <si>
    <t>m.asistores@fujitsu.com</t>
  </si>
  <si>
    <t>Asonto, Alinea</t>
  </si>
  <si>
    <t>al.asonto@fujitsu.com</t>
  </si>
  <si>
    <t>Aspa, Vincent Jomar</t>
  </si>
  <si>
    <t>vincentjomar.aspa@fujitsu.com</t>
  </si>
  <si>
    <t>Astudillo, Romel</t>
  </si>
  <si>
    <t>r.astudillo@fujitsu.com</t>
  </si>
  <si>
    <t>Asuncion, Juan Bernardino</t>
  </si>
  <si>
    <t>jb.asuncion@fujitsu.com</t>
  </si>
  <si>
    <t>Atayde, Melissa Joy</t>
  </si>
  <si>
    <t>m.atayde@fujitsu.com</t>
  </si>
  <si>
    <t>Atendido, Jovic</t>
  </si>
  <si>
    <t>j.atendido@fujitsu.com</t>
  </si>
  <si>
    <t>Atraje, Dan David</t>
  </si>
  <si>
    <t>d.atraje@fujitsu.com</t>
  </si>
  <si>
    <t>Austero, Othon Jr.</t>
  </si>
  <si>
    <t>o.austero@fujitsu.com</t>
  </si>
  <si>
    <t>Austria, Sharmane Claire</t>
  </si>
  <si>
    <t>s.austria@fujitsu.com</t>
  </si>
  <si>
    <t>Avendano, Roland Reuben</t>
  </si>
  <si>
    <t>rolandreuben.avendano@fujitsu.com</t>
  </si>
  <si>
    <t>Avila, Marver</t>
  </si>
  <si>
    <t>m.avila@fujitsu.com</t>
  </si>
  <si>
    <t>Ayo, Mitzi</t>
  </si>
  <si>
    <t>m.ayo@fujitsu.com</t>
  </si>
  <si>
    <t>Ayuban, Jerry Bel Jr.</t>
  </si>
  <si>
    <t>j.ayuban@fujitsu.com</t>
  </si>
  <si>
    <t>Azarcon, Roda Dorothy</t>
  </si>
  <si>
    <t>rodadorothy.azarcon@fujitsu.com</t>
  </si>
  <si>
    <t>Babante, Ian Bernard</t>
  </si>
  <si>
    <t>ianbernard.babante@fujitsu.com</t>
  </si>
  <si>
    <t>Bacal, John Exequiel</t>
  </si>
  <si>
    <t>je.bacal@fujitsu.com</t>
  </si>
  <si>
    <t>Bachini, Randave Winston</t>
  </si>
  <si>
    <t>r.bachini@fujitsu.com</t>
  </si>
  <si>
    <t>Bacla-an, John Michael</t>
  </si>
  <si>
    <t>jm.baclaan@fujitsu.com</t>
  </si>
  <si>
    <t>Bacus, Remus</t>
  </si>
  <si>
    <t>r.bacus@fujitsu.com</t>
  </si>
  <si>
    <t>Bacwaden, Geraldine</t>
  </si>
  <si>
    <t>g.bacwaden@fujitsu.com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</si>
  <si>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</si>
  <si>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</si>
  <si>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</si>
  <si>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</si>
  <si>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</si>
  <si>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</si>
  <si>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</si>
  <si>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</si>
  <si>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</si>
  <si>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</si>
  <si>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Baje, John Paul</t>
  </si>
  <si>
    <t>johnpaul.baje@fujitsu.com</t>
  </si>
  <si>
    <t>Balang, Arthur Allen</t>
  </si>
  <si>
    <t>ar.balang@fujitsu.com</t>
  </si>
  <si>
    <t>Balanon, Jenalyn</t>
  </si>
  <si>
    <t>j.balanon@fujitsu.com</t>
  </si>
  <si>
    <t>Balauag, Glaiza</t>
  </si>
  <si>
    <t>g.baluag@fujitsu.com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</si>
  <si>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</si>
  <si>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</si>
  <si>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</si>
  <si>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</si>
  <si>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</si>
  <si>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</si>
  <si>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</si>
  <si>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</si>
  <si>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Ballesteros, Julie Anne</t>
  </si>
  <si>
    <t>j.ballesteros@fujitsu.com</t>
  </si>
  <si>
    <t>Ballos, John Condrad</t>
  </si>
  <si>
    <t>j.ballos@fujitsu.com</t>
  </si>
  <si>
    <t>Bamboa, Mary Grace</t>
  </si>
  <si>
    <t>m.bamboa@fujitsu.com</t>
  </si>
  <si>
    <t>Bancure, Dominic</t>
  </si>
  <si>
    <t>d.bancure@fujitsu.com</t>
  </si>
  <si>
    <t>Bañez, Gian Carlo</t>
  </si>
  <si>
    <t>gc.banez@fujitsu.com</t>
  </si>
  <si>
    <t>Bantigue, Jayson</t>
  </si>
  <si>
    <t>j.bantigue@fujitsu.com</t>
  </si>
  <si>
    <t>Banzon, Ma. Kristina</t>
  </si>
  <si>
    <t>m.banzon@fujitsu.com</t>
  </si>
  <si>
    <t>Barbadillo, Jomel</t>
  </si>
  <si>
    <t>j.barbadillo@fujitsu.com</t>
  </si>
  <si>
    <t>Barcellano, Michael</t>
  </si>
  <si>
    <t>m.barcellano@fujitsu.com</t>
  </si>
  <si>
    <t>Barcenas, Jhunell</t>
  </si>
  <si>
    <t>j.barcenas@fujitsu.com</t>
  </si>
  <si>
    <t>Barnido, John Renz</t>
  </si>
  <si>
    <t>j.barnido@fujitsu.com</t>
  </si>
  <si>
    <t>Baruc, Danielle May</t>
  </si>
  <si>
    <t>d.baruc@fujitsu.com</t>
  </si>
  <si>
    <t>Basabas, Maria Lourdes</t>
  </si>
  <si>
    <t>m.basabas@fujitsu.com</t>
  </si>
  <si>
    <t>Basilisco, Hannah Rose</t>
  </si>
  <si>
    <t>hr.basilisco@fujitsu.com</t>
  </si>
  <si>
    <t>Baton, Maria Chelsea</t>
  </si>
  <si>
    <t>m.baton@fujitsu.com</t>
  </si>
  <si>
    <t>Batongbacal, Aevan Camille</t>
  </si>
  <si>
    <t>a.batongbacal@fujitsu.com</t>
  </si>
  <si>
    <t>Batucan, Cromwell Pierce</t>
  </si>
  <si>
    <t>cp.batucan@fujitsu.com</t>
  </si>
  <si>
    <t>Bautista, Erick</t>
  </si>
  <si>
    <t>ec.bautista@fujitsu.com</t>
  </si>
  <si>
    <t>Bauzon, Paul Esteven</t>
  </si>
  <si>
    <t>p.bauzon@fujitsu.com</t>
  </si>
  <si>
    <t>Bayanin, Kristoffer Luis</t>
  </si>
  <si>
    <t>k.bayanin@fujitsu.com</t>
  </si>
  <si>
    <t>Bayno, Joseph</t>
  </si>
  <si>
    <t>joseph.bayno@fujitsu.com</t>
  </si>
  <si>
    <t>Bejona, Kim</t>
  </si>
  <si>
    <t>k.bejona@fujitsu.com</t>
  </si>
  <si>
    <t>Belaos, Jamie Loren</t>
  </si>
  <si>
    <t>j.belaos@fujitsu.com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</si>
  <si>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</si>
  <si>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</si>
  <si>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</si>
  <si>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</si>
  <si>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</si>
  <si>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</si>
  <si>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</si>
  <si>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</si>
  <si>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Benavides, Joseph</t>
  </si>
  <si>
    <t>jc.benavides@fujitsu.com</t>
  </si>
  <si>
    <t>Benin, Christian</t>
  </si>
  <si>
    <t>c.benin@fujitsu.com</t>
  </si>
  <si>
    <t>Berdin, Carla</t>
  </si>
  <si>
    <t>c.berdin@fujitsu.com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</si>
  <si>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</si>
  <si>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</si>
  <si>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</si>
  <si>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</si>
  <si>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</si>
  <si>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</si>
  <si>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</si>
  <si>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</si>
  <si>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Bermoy, Jeisha Lyn</t>
  </si>
  <si>
    <t>j.bermoy@fujitsu.com</t>
  </si>
  <si>
    <t>Bermudez, Benjamin</t>
  </si>
  <si>
    <t>be.bermudez@fujitsu.com</t>
  </si>
  <si>
    <t>Bernaldez, Jorge</t>
  </si>
  <si>
    <t>j.bernaldez@fujitsu.com</t>
  </si>
  <si>
    <t>Bernardo, Eduard</t>
  </si>
  <si>
    <t>e.bernardo@fujitsu.com</t>
  </si>
  <si>
    <t>Berruico, Cris Leandro</t>
  </si>
  <si>
    <t>crisleandro.berruico@fujitsu.com</t>
  </si>
  <si>
    <t>Besario, Ednest Joseph</t>
  </si>
  <si>
    <t>e.besario@fujitsu.com</t>
  </si>
  <si>
    <t>Betonio, Glen Jess</t>
  </si>
  <si>
    <t>glenjess.betonio@fujitsu.com</t>
  </si>
  <si>
    <t>Bides, Mark Isiah</t>
  </si>
  <si>
    <t>bides.markisiah@fujitsu.com</t>
  </si>
  <si>
    <t>Bilang, Reino Angelo</t>
  </si>
  <si>
    <t>bilang.reinoangelo@fujitsu.com</t>
  </si>
  <si>
    <t>Bingan, Joey</t>
  </si>
  <si>
    <t>joey.bingan@fujitsu.com</t>
  </si>
  <si>
    <t>Blanco, Micky</t>
  </si>
  <si>
    <t>m.blanco@fujitsu.com</t>
  </si>
  <si>
    <t>Blanco, Billy Joel</t>
  </si>
  <si>
    <t>bj.blanco@fujitsu.com</t>
  </si>
  <si>
    <t>Blasco, Ronel</t>
  </si>
  <si>
    <t>ronel.blasco@fujitsu.com</t>
  </si>
  <si>
    <t>Bognot, Sherwyn Franco</t>
  </si>
  <si>
    <t>sherwynfranco.bognot@fujitsu.com</t>
  </si>
  <si>
    <t>Bonachita, Jose Mari Enrique</t>
  </si>
  <si>
    <t>jm.bonachita@fujitsu.com</t>
  </si>
  <si>
    <t>Bonghanoy, Chenimie</t>
  </si>
  <si>
    <t>Chenimie.Bonghanoy@fujitsu.com</t>
  </si>
  <si>
    <t>Bontilao, James Brian</t>
  </si>
  <si>
    <t>j.bontilao@fujitsu.com</t>
  </si>
  <si>
    <t>Borja, Kevin</t>
  </si>
  <si>
    <t>k.borja@fujitsu.com</t>
  </si>
  <si>
    <t>Borja, Jayson</t>
  </si>
  <si>
    <t>ja.borja@fujitsu.com</t>
  </si>
  <si>
    <t>Borja, Shaina Yzabelle</t>
  </si>
  <si>
    <t>s.borja@fujitsu.com</t>
  </si>
  <si>
    <t>Boter, Jason Jr.</t>
  </si>
  <si>
    <t>j.boter@fujitsu.com</t>
  </si>
  <si>
    <t>Buaron, Siren</t>
  </si>
  <si>
    <t>s.buaron@fujitsu.com</t>
  </si>
  <si>
    <t>Bucad, Keith Rocel</t>
  </si>
  <si>
    <t>kr.bucad@fujitsu.com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</si>
  <si>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</si>
  <si>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</si>
  <si>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</si>
  <si>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</si>
  <si>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</si>
  <si>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</si>
  <si>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Bugtong, Jun</t>
  </si>
  <si>
    <t>j.bugtong@fujitsu.com</t>
  </si>
  <si>
    <t>Buhawe, Jovelyn</t>
  </si>
  <si>
    <t>j.buhawe@fujitsu.com</t>
  </si>
  <si>
    <t>Bulaclac, Leila Jr.</t>
  </si>
  <si>
    <t>l.bulaclac@fujitsu.com</t>
  </si>
  <si>
    <t>Buñing, Jomel</t>
  </si>
  <si>
    <t>j.buning@fujitsu.com</t>
  </si>
  <si>
    <t>Buot, Ralf Louwi</t>
  </si>
  <si>
    <t>r.buot@fujitsu.com</t>
  </si>
  <si>
    <t>Butalid, Jeniffer</t>
  </si>
  <si>
    <t>j.butalid@fujitsu.com</t>
  </si>
  <si>
    <t>Cabahug, Marc Louise</t>
  </si>
  <si>
    <t>m.cabahug@fujitsu.com</t>
  </si>
  <si>
    <t>Caballes, Jennifer Adrianne</t>
  </si>
  <si>
    <t>ja.caballes@fujitsu.com</t>
  </si>
  <si>
    <t>Cabang, Agnes</t>
  </si>
  <si>
    <t>a.cabang@fujitsu.com</t>
  </si>
  <si>
    <t>Cabasbas, Mylls</t>
  </si>
  <si>
    <t>m.cabasbas@fujitsu.com</t>
  </si>
  <si>
    <t>Cabayao, Dabbie</t>
  </si>
  <si>
    <t>d.cabayao@fujitsu.com</t>
  </si>
  <si>
    <t>Cabiling, Glenda</t>
  </si>
  <si>
    <t>g.cabiling@fujitsu.com</t>
  </si>
  <si>
    <t>Cabonita, Hazel Joie</t>
  </si>
  <si>
    <t>ha.cabonita@fujitsu.com</t>
  </si>
  <si>
    <t>Cabrera, Greg Marvin</t>
  </si>
  <si>
    <t>gm.cabrera@fujitsu.com</t>
  </si>
  <si>
    <t>Cabrillas, Kenneth Paul</t>
  </si>
  <si>
    <t>kennethpaul.cabrillas@fujitsu.com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</si>
  <si>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</si>
  <si>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</si>
  <si>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</si>
  <si>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</si>
  <si>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</si>
  <si>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</si>
  <si>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Cadungog, Carlo Dominic</t>
  </si>
  <si>
    <t>c.cadungog@fujitsu.com</t>
  </si>
  <si>
    <t>Caga-anan, Eugene</t>
  </si>
  <si>
    <t>e.cagaanan@fujitsu.com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</si>
  <si>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</si>
  <si>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</si>
  <si>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</si>
  <si>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</si>
  <si>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</si>
  <si>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</si>
  <si>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Cahimat, John Rey</t>
  </si>
  <si>
    <t>j.cahimat@fujitsu.com</t>
  </si>
  <si>
    <t>Cahinod, Mark Steven</t>
  </si>
  <si>
    <t>m.cahinod@fujitsu.com</t>
  </si>
  <si>
    <t>Cala, Earl Edmund</t>
  </si>
  <si>
    <t>e.cala@fujitsu.com</t>
  </si>
  <si>
    <t>Caleon, Rober</t>
  </si>
  <si>
    <t>r.caleon@fujitsu.com</t>
  </si>
  <si>
    <t>Calibud, Kressel</t>
  </si>
  <si>
    <t>kressel.calibud@fujitsu.com</t>
  </si>
  <si>
    <t>Calinawan, John Emmanuel</t>
  </si>
  <si>
    <t>j.calinawan@fujitsu.com</t>
  </si>
  <si>
    <t>Calvis, Ryan Joseph</t>
  </si>
  <si>
    <t>r.calvis@fujitsu.com</t>
  </si>
  <si>
    <t>Camarillo, Ryan</t>
  </si>
  <si>
    <t>r.camarillo@fujitsu.com</t>
  </si>
  <si>
    <t>Camerino, Adriane Paul</t>
  </si>
  <si>
    <t>ap.camerino@fujitsu.com</t>
  </si>
  <si>
    <t>Campanilla, Jed Ervin</t>
  </si>
  <si>
    <t>j.campanilla@fujitsu.com</t>
  </si>
  <si>
    <t>Candeza, Michael Angelo</t>
  </si>
  <si>
    <t>michaelangelo.candeza@fujitsu.com</t>
  </si>
  <si>
    <t>Cando, Julian Francis</t>
  </si>
  <si>
    <t>j.cando@fujitsu.com</t>
  </si>
  <si>
    <t>Canios, Charisa</t>
  </si>
  <si>
    <t>c.canios@fujitsu.com</t>
  </si>
  <si>
    <t>Cano, Reginald King</t>
  </si>
  <si>
    <t>reginaldking.cano@fujitsu.com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</si>
  <si>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</si>
  <si>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</si>
  <si>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</si>
  <si>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</si>
  <si>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</si>
  <si>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</si>
  <si>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Caparros, Hector</t>
  </si>
  <si>
    <t>h.caparros@fujitsu.com</t>
  </si>
  <si>
    <t>Capati, Jenica Rose</t>
  </si>
  <si>
    <t>jr.capati@fujitsu.com</t>
  </si>
  <si>
    <t>Caponpon, Ralph</t>
  </si>
  <si>
    <t>r.caponpon@fujitsu.com</t>
  </si>
  <si>
    <t>Cardenas, Austin</t>
  </si>
  <si>
    <t>a.cardenas@fujitsu.com</t>
  </si>
  <si>
    <t>Cardenas, David Wyatt</t>
  </si>
  <si>
    <t>dw.cardenas@fujitsu.com</t>
  </si>
  <si>
    <t>Carganilla, Karl Christian</t>
  </si>
  <si>
    <t>kc.carganill@fujitsu.com</t>
  </si>
  <si>
    <t>Carreon, Ian Paul</t>
  </si>
  <si>
    <t>ip.carreon@fujitsu.com</t>
  </si>
  <si>
    <t>Carreon, Carl Edward</t>
  </si>
  <si>
    <t>ce.carreon@fujitsu.com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</si>
  <si>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</si>
  <si>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</si>
  <si>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</si>
  <si>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</si>
  <si>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</si>
  <si>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</si>
  <si>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Casinillo, Edwin Charles</t>
  </si>
  <si>
    <t>ec.casinillo@fujitsu.com</t>
  </si>
  <si>
    <t>Castillano, Ranz Daren</t>
  </si>
  <si>
    <t>r.castillano@fujitsu.com</t>
  </si>
  <si>
    <t>Castillo, Mary Grace Elizabeth</t>
  </si>
  <si>
    <t>mg.castillo@fujitsu.com</t>
  </si>
  <si>
    <t>Castillo, Charlotte Ann</t>
  </si>
  <si>
    <t>c.castillo@fujitsu.com</t>
  </si>
  <si>
    <t>Castillo, Alec Gemayel</t>
  </si>
  <si>
    <t>alecgemayel.castillo@fujitsu.com</t>
  </si>
  <si>
    <t>Castillote, John Patrick</t>
  </si>
  <si>
    <t>johnpatrick.castillote@fujitsu.com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</si>
  <si>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</si>
  <si>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</si>
  <si>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</si>
  <si>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</si>
  <si>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</si>
  <si>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</si>
  <si>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Weewine</t>
  </si>
  <si>
    <t>w.catalan@fujitsu.com</t>
  </si>
  <si>
    <t>Catalma, Anna Marie</t>
  </si>
  <si>
    <t>a.catalma@fujitsu.com</t>
  </si>
  <si>
    <t>Catanyag, Jostin Ceddy</t>
  </si>
  <si>
    <t>j.catanyag@fujitsu.com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</si>
  <si>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</si>
  <si>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</si>
  <si>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</si>
  <si>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</si>
  <si>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</si>
  <si>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</si>
  <si>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</si>
  <si>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</si>
  <si>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</si>
  <si>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</si>
  <si>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</si>
  <si>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</si>
  <si>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</si>
  <si>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</si>
  <si>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Celedonio, Romy Alvin</t>
  </si>
  <si>
    <t>ra.celedonio@fujitsu.com</t>
  </si>
  <si>
    <t>Celis, Ralph John</t>
  </si>
  <si>
    <t>rs.celis@fujitsu.com</t>
  </si>
  <si>
    <t>Celis, Emmanuel John</t>
  </si>
  <si>
    <t>ej.celis@fujitsu.com</t>
  </si>
  <si>
    <t>Celis, Lynette</t>
  </si>
  <si>
    <t>l.lascuna@fujitsu.com</t>
  </si>
  <si>
    <t>Celoso, Al Christian</t>
  </si>
  <si>
    <t>a.celoso@fujitsu.com</t>
  </si>
  <si>
    <t>Celoso, Leymark</t>
  </si>
  <si>
    <t>l.celoso@fujitsu.com</t>
  </si>
  <si>
    <t>Cenina, Mark Jeanold</t>
  </si>
  <si>
    <t>mj.cenina@fujitsu.com</t>
  </si>
  <si>
    <t>Ceniza, Edna</t>
  </si>
  <si>
    <t>e.ceniza@fujitsu.com</t>
  </si>
  <si>
    <t>Centus, Ronald</t>
  </si>
  <si>
    <t>ronald.centus@fujitsu.com</t>
  </si>
  <si>
    <t>Cepres, Rolan</t>
  </si>
  <si>
    <t>r.cepres@fujitsu.com</t>
  </si>
  <si>
    <t>Cera, John Raven</t>
  </si>
  <si>
    <t>j.cera@fujitsu.com</t>
  </si>
  <si>
    <t>Ceribo, Julian Dominic</t>
  </si>
  <si>
    <t>j.ceribo@fujitsu.com</t>
  </si>
  <si>
    <t>Cervania, Ruth Joy</t>
  </si>
  <si>
    <t>rj.cervania@fujitsu.com</t>
  </si>
  <si>
    <t>Cervantes, Joel Angelo</t>
  </si>
  <si>
    <t>ja.cervantes@fujitsu.com</t>
  </si>
  <si>
    <t>Chamorro, Maria Ana</t>
  </si>
  <si>
    <t>a.chamorro@fujitsu.com</t>
  </si>
  <si>
    <t>Chan, Jacklyn</t>
  </si>
  <si>
    <t>j.chan@fujitsu.com</t>
  </si>
  <si>
    <t>Chan, Sami Janine</t>
  </si>
  <si>
    <t>sj.chan@fujitsu.com</t>
  </si>
  <si>
    <t>Chavez, Joeram</t>
  </si>
  <si>
    <t>j.chavez@fujitsu.com</t>
  </si>
  <si>
    <t>Chavez, Jickler</t>
  </si>
  <si>
    <t>ji.chavez@fujitsu.com</t>
  </si>
  <si>
    <t>Chavez, Mike Alvin</t>
  </si>
  <si>
    <t>mi.chavez@fujitsu.com</t>
  </si>
  <si>
    <t>Chiew, Cindy Mae</t>
  </si>
  <si>
    <t>c.chiew@fujitsu.com</t>
  </si>
  <si>
    <t>Chua, Karlo Kim Kritz Gerard</t>
  </si>
  <si>
    <t>k.chua@fujitsu.com</t>
  </si>
  <si>
    <t>Clavejo, Luisito Jr.</t>
  </si>
  <si>
    <t>l.clavejo@fujitsu.com</t>
  </si>
  <si>
    <t>Claveria, John Michael</t>
  </si>
  <si>
    <t>johnmichael.claveria@fujitsu.com</t>
  </si>
  <si>
    <t>Clemente, Queenie Ann Krsna</t>
  </si>
  <si>
    <t>queenieannkrsna.clemente@fujitsu.com</t>
  </si>
  <si>
    <t>Codeniera, Marietoni Louise</t>
  </si>
  <si>
    <t>ml.codeniera@fujitsu.com</t>
  </si>
  <si>
    <t>Colinares, Belly Rey</t>
  </si>
  <si>
    <t>bellyrey.colinares@fujitsu.com</t>
  </si>
  <si>
    <t>Comaad, Cleverjean Moises</t>
  </si>
  <si>
    <t>c.comaad@fujitsu.com</t>
  </si>
  <si>
    <t>Cometa, Maria Delia</t>
  </si>
  <si>
    <t>md.cometa@fujitsu.com</t>
  </si>
  <si>
    <t>Confessor, Ronilo Jude</t>
  </si>
  <si>
    <t>r.confessor@fujitsu.com</t>
  </si>
  <si>
    <t>Coral, Mylene</t>
  </si>
  <si>
    <t>m.coral@fujitsu.com</t>
  </si>
  <si>
    <t>Coronado, Nixon</t>
  </si>
  <si>
    <t>n.coronado@fujitsu.com</t>
  </si>
  <si>
    <t>Corpuz, Brian Jake</t>
  </si>
  <si>
    <t>brianjake.corpuz@fujitsu.com</t>
  </si>
  <si>
    <t>Corpuz, Eldred Justin</t>
  </si>
  <si>
    <t>eldredjustin.corpuz@fujitsu.com</t>
  </si>
  <si>
    <t>Corral, Airone Williar</t>
  </si>
  <si>
    <t>a.corral@fujitsu.com</t>
  </si>
  <si>
    <t>Cortesiano, Michael</t>
  </si>
  <si>
    <t>m.cortesiano@fujitsu.com</t>
  </si>
  <si>
    <t>Cortina, Mary Ann</t>
  </si>
  <si>
    <t>m.cortina@fujitsu.com</t>
  </si>
  <si>
    <t>Cosep, Ariel</t>
  </si>
  <si>
    <t>a.cosep@fujitsu.com</t>
  </si>
  <si>
    <t>Cozo, Christine</t>
  </si>
  <si>
    <t>c.cozo@fujitsu.com</t>
  </si>
  <si>
    <t>Cristobal, Nicole</t>
  </si>
  <si>
    <t>nicole.cristobal@fujitsu.com</t>
  </si>
  <si>
    <t>Cruz, Clara Denise</t>
  </si>
  <si>
    <t>cd.cruz@fujitsu.com</t>
  </si>
  <si>
    <t>Cruz, Sheilla Mae</t>
  </si>
  <si>
    <t>s.cruz@fujitsu.com</t>
  </si>
  <si>
    <t>Cruz, Nicole</t>
  </si>
  <si>
    <t>nm.cruz@fujitsu.com</t>
  </si>
  <si>
    <t>Cruz, John Edward</t>
  </si>
  <si>
    <t>je.cruz@fujitsu.com</t>
  </si>
  <si>
    <t>Cruz, Jomari</t>
  </si>
  <si>
    <t>jl.cruz@fujitsu.com</t>
  </si>
  <si>
    <t>Cruz, Kyle Matthew</t>
  </si>
  <si>
    <t>km.cruz@fujitsu.com</t>
  </si>
  <si>
    <t>Cruz, Vince Edilbert</t>
  </si>
  <si>
    <t>ve.cruz@fujitsu.com</t>
  </si>
  <si>
    <t>Cruz, Carla</t>
  </si>
  <si>
    <t>cp.cruz@fujitsu.com</t>
  </si>
  <si>
    <t>Cruz, Jay Jerick</t>
  </si>
  <si>
    <t>jayjerick.cruz@fujitsu.com</t>
  </si>
  <si>
    <t>Cua, Jennifer</t>
  </si>
  <si>
    <t>jc.cua@fujitsu.com</t>
  </si>
  <si>
    <t>Cuestas, Hazel</t>
  </si>
  <si>
    <t>h.cuestas@fujitsu.com</t>
  </si>
  <si>
    <t>Cuevas, Kevin Cristopher</t>
  </si>
  <si>
    <t>k.cuevas@fujitsu.com</t>
  </si>
  <si>
    <t>Cuevas, Julius</t>
  </si>
  <si>
    <t>ju.cuevas@fujitsu.com</t>
  </si>
  <si>
    <t>Cui, Patricia Alyssa</t>
  </si>
  <si>
    <t>p.cui@fujitsu.com</t>
  </si>
  <si>
    <t>Cuizon, Brian</t>
  </si>
  <si>
    <t>b.cuizon@fujitsu.com</t>
  </si>
  <si>
    <t>Cutarra, Klint Gino</t>
  </si>
  <si>
    <t>kg.cutarra@fujitsu.com</t>
  </si>
  <si>
    <t>Cuyno, Kimberly Kate</t>
  </si>
  <si>
    <t>k.cuyno@fujitsu.com</t>
  </si>
  <si>
    <t>Dacanay, Michelle</t>
  </si>
  <si>
    <t>m.dacanay@fujitsu.com</t>
  </si>
  <si>
    <t>David, Florante</t>
  </si>
  <si>
    <t>f.david@fujitsu.com</t>
  </si>
  <si>
    <t>David, James Harold</t>
  </si>
  <si>
    <t>jh.david@fujitsu.com</t>
  </si>
  <si>
    <t>Davis, Joelito Jr.</t>
  </si>
  <si>
    <t>j.davis@fujitsu.com</t>
  </si>
  <si>
    <t>Dayola, Van Raphael</t>
  </si>
  <si>
    <t>v.dayola@fujitsu.com</t>
  </si>
  <si>
    <t>Dayondon, Anthony</t>
  </si>
  <si>
    <t>an.dayondon@fujitsu.com</t>
  </si>
  <si>
    <t>De Dios, Ralph Darrell</t>
  </si>
  <si>
    <t>r.dedios@fujitsu.com</t>
  </si>
  <si>
    <t>De Dios, Mary Ann</t>
  </si>
  <si>
    <t>maryann.dedios@fujitsu.com</t>
  </si>
  <si>
    <t>De Guia, Zedriz</t>
  </si>
  <si>
    <t>z.deguia@fujitsu.com</t>
  </si>
  <si>
    <t>De Guzman, Esperanza Virginia</t>
  </si>
  <si>
    <t>v.deguzman@fujitsu.com</t>
  </si>
  <si>
    <t>De Guzman, Jambert</t>
  </si>
  <si>
    <t>jg.deguzman@fujitsu.com</t>
  </si>
  <si>
    <t>De Guzman, Genevieve</t>
  </si>
  <si>
    <t>g.deguzman@fujitsu.com</t>
  </si>
  <si>
    <t>De Guzman, Jeamel</t>
  </si>
  <si>
    <t>jm.deguzman@fujitsu.com</t>
  </si>
  <si>
    <t>De Lara, John Laurence</t>
  </si>
  <si>
    <t>jo.delara@fujitsu.com</t>
  </si>
  <si>
    <t>De Leon, John Carlo</t>
  </si>
  <si>
    <t>jl.deleon@fujitsu.com</t>
  </si>
  <si>
    <t>De Leon, Danica</t>
  </si>
  <si>
    <t>dm.deleon@fujitsu.com</t>
  </si>
  <si>
    <t>De Leon, Charisse Anne</t>
  </si>
  <si>
    <t>charisseanne.deleon@fujitsu.com</t>
  </si>
  <si>
    <t>De Leon, Aaron Justine</t>
  </si>
  <si>
    <t>aaronjustine.deleon@fujitsu.com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</si>
  <si>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</si>
  <si>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</si>
  <si>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</si>
  <si>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</si>
  <si>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</si>
  <si>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</si>
  <si>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</si>
  <si>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</si>
  <si>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Ramos, Yohan Frenzo</t>
  </si>
  <si>
    <t>y.deramos@fujitsu.com</t>
  </si>
  <si>
    <t>De Real, Christopher</t>
  </si>
  <si>
    <t>c.dereal@fujitsu.com</t>
  </si>
  <si>
    <t>De Vera, Jose II</t>
  </si>
  <si>
    <t>jy.devera@fujitsu.com</t>
  </si>
  <si>
    <t>Degamo, Mary Pearl</t>
  </si>
  <si>
    <t>m.degamo@fujitsu.com</t>
  </si>
  <si>
    <t>Degorio, Winnelyn</t>
  </si>
  <si>
    <t>w.degorio@fujitsu.com</t>
  </si>
  <si>
    <t>Deiparine, Genesis</t>
  </si>
  <si>
    <t>g.deiparine@fujitsu.com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</si>
  <si>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</si>
  <si>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</si>
  <si>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</si>
  <si>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</si>
  <si>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</si>
  <si>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</si>
  <si>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Valle, Eldren</t>
  </si>
  <si>
    <t>e.delvalle@fujitsu.com</t>
  </si>
  <si>
    <t>Dela Cerna, Vince Gerald</t>
  </si>
  <si>
    <t>vi.delacerna@fujitsu.com</t>
  </si>
  <si>
    <t>Dela Cruz, Anna Marie</t>
  </si>
  <si>
    <t>a.delacruz@fujitsu.com</t>
  </si>
  <si>
    <t>Dela Cruz, Daryl</t>
  </si>
  <si>
    <t>d.delacruz@fujitsu.com</t>
  </si>
  <si>
    <t>Dela Cruz, David Edward</t>
  </si>
  <si>
    <t>de.delacruz@fujitsu.com</t>
  </si>
  <si>
    <t>Dela Cruz, Ruth</t>
  </si>
  <si>
    <t>ru.delacruz@fujitsu.com</t>
  </si>
  <si>
    <t>Dela Cruz, Mary Rochelle</t>
  </si>
  <si>
    <t>maryrochelle.delacruz@fujitsu.com</t>
  </si>
  <si>
    <t>Dela Peña, Joko</t>
  </si>
  <si>
    <t>delapena.joko@fujitsu.com</t>
  </si>
  <si>
    <t>Dela Piedra, Maricris</t>
  </si>
  <si>
    <t>m.delapiedra@fujitsu.com</t>
  </si>
  <si>
    <t>Dela Rama, Kenn Rhou</t>
  </si>
  <si>
    <t>k.delarama@fujitsu.com</t>
  </si>
  <si>
    <t>Dela Rosa, Romina</t>
  </si>
  <si>
    <t>rb.delarosa@fujitsu.com</t>
  </si>
  <si>
    <t>Dela Rosa, Ma. Cristle</t>
  </si>
  <si>
    <t>mc.delarosa@fujitsu.com</t>
  </si>
  <si>
    <t>Dela Rosa, Reynaldo Jr.</t>
  </si>
  <si>
    <t>delarosa.reynaldojr@fujitsu.com</t>
  </si>
  <si>
    <t>Delmiguez, Maureen</t>
  </si>
  <si>
    <t>m.delmiguez@fujitsu.com</t>
  </si>
  <si>
    <t>Delos Santos, Walter</t>
  </si>
  <si>
    <t>w.delossantos@fujitsu.com</t>
  </si>
  <si>
    <t>Delos Santos, Jasond</t>
  </si>
  <si>
    <t>j.delosanto@fujitsu.com</t>
  </si>
  <si>
    <t>Deloso, Mary Ann</t>
  </si>
  <si>
    <t>m.deloso@fujitsu.com</t>
  </si>
  <si>
    <t>Deplomo, Danna</t>
  </si>
  <si>
    <t>danna.deplomo@fujitsu.com</t>
  </si>
  <si>
    <t>Desuasido, Martin</t>
  </si>
  <si>
    <t>m.desuasido@fujitsu.com</t>
  </si>
  <si>
    <t>Detoya, Dennis</t>
  </si>
  <si>
    <t>d.detoya@fujitsu.com</t>
  </si>
  <si>
    <t>Diaz, Jason</t>
  </si>
  <si>
    <t>jm.diaz@fujitsu.com</t>
  </si>
  <si>
    <t>Diaz, Francis Louie</t>
  </si>
  <si>
    <t>francis.diaz@fujitsu.com</t>
  </si>
  <si>
    <t>Diaz, Stephanie</t>
  </si>
  <si>
    <t>st.diaz@fujitsu.com</t>
  </si>
  <si>
    <t>Digaynon, Jerwin</t>
  </si>
  <si>
    <t>jerwin.digaynon@fujitsu.com</t>
  </si>
  <si>
    <t>Dimafelix, Mark Jimuel</t>
  </si>
  <si>
    <t>mj.dimafelix@fujitsu.com</t>
  </si>
  <si>
    <t>Dimailig, Allan</t>
  </si>
  <si>
    <t>a.dimailig@fujitsu.com</t>
  </si>
  <si>
    <t>Dinglasan, Dexter</t>
  </si>
  <si>
    <t>d.dinglasan@fujitsu.com</t>
  </si>
  <si>
    <t>Diño, Paul David</t>
  </si>
  <si>
    <t>pauldavid.dino@fujitsu.com</t>
  </si>
  <si>
    <t>Diola, Bryan</t>
  </si>
  <si>
    <t>b.diola@fujitsu.com</t>
  </si>
  <si>
    <t>Divico, Christine</t>
  </si>
  <si>
    <t>ch.divico@fujitsu.com</t>
  </si>
  <si>
    <t>Divino, Jethro</t>
  </si>
  <si>
    <t>j.divino@fujitsu.com</t>
  </si>
  <si>
    <t>Dizon, Aaron Paul</t>
  </si>
  <si>
    <t>ap.dizon@fujitsu.com</t>
  </si>
  <si>
    <t>Doblado, Judde</t>
  </si>
  <si>
    <t>j.doblado@fujitsu.com</t>
  </si>
  <si>
    <t>Docdocil, Noera Marie</t>
  </si>
  <si>
    <t>n.docdocil@fujitsu.com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</si>
  <si>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</si>
  <si>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</si>
  <si>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</si>
  <si>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</si>
  <si>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</si>
  <si>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</si>
  <si>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John Diether</t>
  </si>
  <si>
    <t>jo.dominguez@fujitsu.com</t>
  </si>
  <si>
    <t>Dominguez, Grace Ann</t>
  </si>
  <si>
    <t>ga.dominguez@fujitsu.com</t>
  </si>
  <si>
    <t>Dotillos, Mark Gil</t>
  </si>
  <si>
    <t>mg.dotillos@fujitsu.com</t>
  </si>
  <si>
    <t>Dugtong, Christopher Joy</t>
  </si>
  <si>
    <t>christopherjoy.dugtong@fujitsu.com</t>
  </si>
  <si>
    <t>Dulayan, Kris</t>
  </si>
  <si>
    <t>ks.dulayan@fujitsu.com</t>
  </si>
  <si>
    <t>Dulnuan, Dexter Louie</t>
  </si>
  <si>
    <t>d.dulnuan@fujitsu.com</t>
  </si>
  <si>
    <t>Dy, Nadine Wendy</t>
  </si>
  <si>
    <t>nw.dy@fujitsu.com</t>
  </si>
  <si>
    <t>Dy, Sony Jr.</t>
  </si>
  <si>
    <t>sj.dy@fujitsu.com</t>
  </si>
  <si>
    <t>Dy, Michael Jordan</t>
  </si>
  <si>
    <t>michaeljordan.dy@fujitsu.com</t>
  </si>
  <si>
    <t>Ebora, John Nifled</t>
  </si>
  <si>
    <t>j.ebora@fujitsu.com</t>
  </si>
  <si>
    <t>Ege, Jonathan Jr.</t>
  </si>
  <si>
    <t>j.ege@fujitsu.com</t>
  </si>
  <si>
    <t>Egoc, Joseph Bryan</t>
  </si>
  <si>
    <t>j.egoc@fujitsu.com</t>
  </si>
  <si>
    <t>Eguna, Jibbie</t>
  </si>
  <si>
    <t>j.eguna@fujitsu.com</t>
  </si>
  <si>
    <t>Ela, Norence</t>
  </si>
  <si>
    <t>norence.ela@fujitsu.com</t>
  </si>
  <si>
    <t>Embernate, Tyrone</t>
  </si>
  <si>
    <t>tyrone.embernate@fujitsu.com</t>
  </si>
  <si>
    <t>Enad, Terence Dave</t>
  </si>
  <si>
    <t>terencedave.enad@fujitsu.com</t>
  </si>
  <si>
    <t>Endo, Masami</t>
  </si>
  <si>
    <t>ma.endo@fujitsu.com</t>
  </si>
  <si>
    <t>Enero, Emmanuel Jr.</t>
  </si>
  <si>
    <t>em.enero@fujitsu.com</t>
  </si>
  <si>
    <t>Erot, Andreu</t>
  </si>
  <si>
    <t>ac.erot@fujitsu.com</t>
  </si>
  <si>
    <t>Escala, Dave Bryll</t>
  </si>
  <si>
    <t>d.escala@fujitsu.com</t>
  </si>
  <si>
    <t>Espayos, Deo Martin</t>
  </si>
  <si>
    <t>dm.espayos@fujitsu.com</t>
  </si>
  <si>
    <t>Espina, Roan Joan</t>
  </si>
  <si>
    <t>r.espina@fujitsu.com</t>
  </si>
  <si>
    <t>Espinosa, Ralph Joseph</t>
  </si>
  <si>
    <t>rj.espinosa@fujitsu.com</t>
  </si>
  <si>
    <t>Espinoza, Karlen Trecia</t>
  </si>
  <si>
    <t>ka.espinoza@fujitsu.com</t>
  </si>
  <si>
    <t>Espiritu, Raul</t>
  </si>
  <si>
    <t>raul.espiritu@fujitsu.com</t>
  </si>
  <si>
    <t>Espra, Mallori</t>
  </si>
  <si>
    <t>m.espra@fujitsu.com</t>
  </si>
  <si>
    <t>Estardo, Darwin</t>
  </si>
  <si>
    <t>d.estardo@fujitsu.com</t>
  </si>
  <si>
    <t>Estoperez, Mary Grace</t>
  </si>
  <si>
    <t>m.estoperez@fujitsu.com</t>
  </si>
  <si>
    <t>Estores, Angelo</t>
  </si>
  <si>
    <t>a.estores@fujitsu.com</t>
  </si>
  <si>
    <t>Estropigan, John Rich</t>
  </si>
  <si>
    <t>j.estropigan@fujitsu.com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</si>
  <si>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</si>
  <si>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</si>
  <si>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</si>
  <si>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</si>
  <si>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</si>
  <si>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</si>
  <si>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Maricone Ellis</t>
  </si>
  <si>
    <t>mariconeellis.evangelista@fujitsu.com</t>
  </si>
  <si>
    <t>Evangelista, John</t>
  </si>
  <si>
    <t>john.evangelista@fujitsu.com</t>
  </si>
  <si>
    <t>Fabula, Ena Lorraine</t>
  </si>
  <si>
    <t>e.fabula@fujitsu.com</t>
  </si>
  <si>
    <t>Fajardo, Ivy</t>
  </si>
  <si>
    <t>i.fajardo@fujitsu.com</t>
  </si>
  <si>
    <t>Falceso, Neil Patrick Angelo</t>
  </si>
  <si>
    <t>neilpatrickangelo.falceso@fujitsu.com</t>
  </si>
  <si>
    <t>Fernandez, Jemmalou</t>
  </si>
  <si>
    <t>je.fernandez@fujitsu.com</t>
  </si>
  <si>
    <t>Fernandez, Rey Phillip</t>
  </si>
  <si>
    <t>rp.fernandez@fujitsu.com</t>
  </si>
  <si>
    <t>Ferrer, Mariano III</t>
  </si>
  <si>
    <t>m.ferrer@fujitsu.com</t>
  </si>
  <si>
    <t>Ferrer, Moises</t>
  </si>
  <si>
    <t>moises.ferrer@fujitsu.com</t>
  </si>
  <si>
    <t>Fiel, Thelma Mae</t>
  </si>
  <si>
    <t>thelmamae.fiel@fujitsu.com</t>
  </si>
  <si>
    <t>Flores, Chryss Rei Timothy</t>
  </si>
  <si>
    <t>cr.flores@fujitsu.com</t>
  </si>
  <si>
    <t>Flores, Kenneth Macbien</t>
  </si>
  <si>
    <t>k.flores@fujitsu.com</t>
  </si>
  <si>
    <t>Flores, Ranssen Stene</t>
  </si>
  <si>
    <t>rh.flores@fujitsu.com</t>
  </si>
  <si>
    <t>Flores, Angelo</t>
  </si>
  <si>
    <t>a.flores@fujitsu.com</t>
  </si>
  <si>
    <t>Floresta, Francis</t>
  </si>
  <si>
    <t>f.floresta@fujitsu.com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</si>
  <si>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</si>
  <si>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</si>
  <si>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</si>
  <si>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</si>
  <si>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</si>
  <si>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</si>
  <si>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Francisco, Jedidiah</t>
  </si>
  <si>
    <t>j.francisco@fujitsu.com</t>
  </si>
  <si>
    <t>Francisco, Russene Niña</t>
  </si>
  <si>
    <t>r.francisco@fujitsu.com</t>
  </si>
  <si>
    <t>Francisco, Ivy Rosette</t>
  </si>
  <si>
    <t>francisco.ivy@fujitsu.com</t>
  </si>
  <si>
    <t>Francisco, Cara Dominique</t>
  </si>
  <si>
    <t>cd.francisco@fujitsu.com</t>
  </si>
  <si>
    <t>Francisco, Dan Chester</t>
  </si>
  <si>
    <t>d.francisco@fujitsu.com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</si>
  <si>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</si>
  <si>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</si>
  <si>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</si>
  <si>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</si>
  <si>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</si>
  <si>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</si>
  <si>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Frisco, Jennifer</t>
  </si>
  <si>
    <t>jennifer.frisco@fujitsu.com</t>
  </si>
  <si>
    <t>Fuentes, Gerald</t>
  </si>
  <si>
    <t>g.fuentes@fujitsu.com</t>
  </si>
  <si>
    <t>Fuerzas, Cristy Loraine</t>
  </si>
  <si>
    <t>c.fuerzas@fujitsu.com</t>
  </si>
  <si>
    <t>Fukui, Tetsuya</t>
  </si>
  <si>
    <t>t.fukui@fujitsu.com</t>
  </si>
  <si>
    <t>Gabalones, Josel</t>
  </si>
  <si>
    <t>j.gabalones@fujitsu.com</t>
  </si>
  <si>
    <t>Gaboca, Arden</t>
  </si>
  <si>
    <t>a.gaboca@fujitsu.com</t>
  </si>
  <si>
    <t>Gabotas, Lovely</t>
  </si>
  <si>
    <t>l.gabotas@fujitsu.com</t>
  </si>
  <si>
    <t>Gabutan, Rose</t>
  </si>
  <si>
    <t>r.gabutan@fujitsu.com</t>
  </si>
  <si>
    <t>Gabutan, Jeoffani</t>
  </si>
  <si>
    <t>je.gabutan@fujitsu.com</t>
  </si>
  <si>
    <t>Gabutin, Francisco Luis</t>
  </si>
  <si>
    <t>fl.gabutin@fujitsu.com</t>
  </si>
  <si>
    <t>Gacutan, Kristoffer</t>
  </si>
  <si>
    <t>kr.gacutan@fujitsu.com</t>
  </si>
  <si>
    <t>Gadiane, Ronie</t>
  </si>
  <si>
    <t>ronie.gadiane@fujitsu.com</t>
  </si>
  <si>
    <t>Gainsan, John Paul</t>
  </si>
  <si>
    <t>jp.gainsan@fujitsu.com</t>
  </si>
  <si>
    <t>Gajulin, John Glendyl</t>
  </si>
  <si>
    <t>johnglendyl.gajulin@fujitsu.com</t>
  </si>
  <si>
    <t>Galang, Reeve Joshua</t>
  </si>
  <si>
    <t>reevejoshua.galang@fujitsu.com</t>
  </si>
  <si>
    <t>Galanto, Mark Louise</t>
  </si>
  <si>
    <t>marklouise.galanto@fujitsu.com</t>
  </si>
  <si>
    <t>Galeon, Roven Michael</t>
  </si>
  <si>
    <t>r.galeon@fujitsu.com</t>
  </si>
  <si>
    <t>Gallardo, Arah Flor</t>
  </si>
  <si>
    <t>a.gallardo@fujitsu.com</t>
  </si>
  <si>
    <t>Gallora, Lyndon</t>
  </si>
  <si>
    <t>l.gallora@fujitsu.com</t>
  </si>
  <si>
    <t>Galsim, Dandelmer</t>
  </si>
  <si>
    <t>dandelmer.galsim@fujitsu.com</t>
  </si>
  <si>
    <t>Galvez, Jay</t>
  </si>
  <si>
    <t>jq.galvez@fujitsu.com</t>
  </si>
  <si>
    <t>JDU-GREAT MNL</t>
  </si>
  <si>
    <t>Galvez, Richard</t>
  </si>
  <si>
    <t>richard.galvez@fujitsu.com</t>
  </si>
  <si>
    <t>Ganongan, Sheanmer Ann</t>
  </si>
  <si>
    <t>s.ganongan@fujitsu.com</t>
  </si>
  <si>
    <t>Gapate, Jeremias</t>
  </si>
  <si>
    <t>j.gapate@fujitsu.com</t>
  </si>
  <si>
    <t>Gaquit, Renz Francis</t>
  </si>
  <si>
    <t>r.gaquit@fujitsu.com</t>
  </si>
  <si>
    <t>Garcia, Joy</t>
  </si>
  <si>
    <t>jb.garcia@fujitsu.com</t>
  </si>
  <si>
    <t>Garcia, Zyrene</t>
  </si>
  <si>
    <t>z.garcia@fujitsu.com</t>
  </si>
  <si>
    <t>Garcia, Roselyn</t>
  </si>
  <si>
    <t>roselyn.garcia@fujitsu.com</t>
  </si>
  <si>
    <t>Garduque, Rodolfo I</t>
  </si>
  <si>
    <t>r.garduque@fujitsu.com</t>
  </si>
  <si>
    <t>Gastardo, Christian Paul</t>
  </si>
  <si>
    <t>ch.gastardo@fujitsu.com</t>
  </si>
  <si>
    <t>Gayo, Patrick John</t>
  </si>
  <si>
    <t>patrickjohn.gayo@fujitsu.com</t>
  </si>
  <si>
    <t>Geagonia, Rodvic</t>
  </si>
  <si>
    <t>rodvic.geagonia@fujitsu.com</t>
  </si>
  <si>
    <t>Gelig, Suzette</t>
  </si>
  <si>
    <t>s.gelig@fujitsu.com</t>
  </si>
  <si>
    <t>Geluz, John Austin</t>
  </si>
  <si>
    <t>ja.geluz@fujitsu.com</t>
  </si>
  <si>
    <t>Gelves, Uriel Ian</t>
  </si>
  <si>
    <t>u.gelves@fujitsu.com</t>
  </si>
  <si>
    <t>Gemparo, Rosabelle</t>
  </si>
  <si>
    <t>r.gemparo@fujitsu.com</t>
  </si>
  <si>
    <t>Genares, Reynan</t>
  </si>
  <si>
    <t>r.genares@fujitsu.com</t>
  </si>
  <si>
    <t>Gendrana, Kimberligh</t>
  </si>
  <si>
    <t>k.gendrana@fujitsu.com</t>
  </si>
  <si>
    <t>Geromo, Rafael</t>
  </si>
  <si>
    <t>r.geromo@fujitsu.com</t>
  </si>
  <si>
    <t>Giangan, Kenneth Francis</t>
  </si>
  <si>
    <t>k.giangan@fujitsu.com</t>
  </si>
  <si>
    <t>Glorioso, Lenny</t>
  </si>
  <si>
    <t>lenny.glorioso@fujitsu.com</t>
  </si>
  <si>
    <t>Go, April Diane</t>
  </si>
  <si>
    <t>a.go@fujitsu.com</t>
  </si>
  <si>
    <t>Go, Edmyr</t>
  </si>
  <si>
    <t>ec.go@fujitsu.com</t>
  </si>
  <si>
    <t>Go, John Michael</t>
  </si>
  <si>
    <t>jm.go@fujitsu.com</t>
  </si>
  <si>
    <t>Go, Zachary</t>
  </si>
  <si>
    <t>z.go@fujitsu.com</t>
  </si>
  <si>
    <t>Gocotano, Mc Jhovenn</t>
  </si>
  <si>
    <t>mj.gocotano@fujitsu.com</t>
  </si>
  <si>
    <t>Golosino, Theriza Martha</t>
  </si>
  <si>
    <t>t.golosino@fujitsu.com</t>
  </si>
  <si>
    <t>Gonzales, Joshua</t>
  </si>
  <si>
    <t>j.gonzales@fujitsu.com</t>
  </si>
  <si>
    <t>Gonzales, Cristopher Nino</t>
  </si>
  <si>
    <t>c.gonzales@fujitsu.com</t>
  </si>
  <si>
    <t>Gonzales, Kyle</t>
  </si>
  <si>
    <t>ky.gonzales@fujitsu.com</t>
  </si>
  <si>
    <t>Gonzales, Jener</t>
  </si>
  <si>
    <t>je.gonzales@fujitsu.com</t>
  </si>
  <si>
    <t>Gonzales, Charlene Christina</t>
  </si>
  <si>
    <t>gonzales.charlenechristina@fujitsu.com</t>
  </si>
  <si>
    <t>Gonzalez, Kenneth Oliver</t>
  </si>
  <si>
    <t>ko.gonzalez@fujitsu.com</t>
  </si>
  <si>
    <t>Goot, Arvin</t>
  </si>
  <si>
    <t>arvin.goot@fujitsu.com</t>
  </si>
  <si>
    <t>Gracia, Victorio Jr.</t>
  </si>
  <si>
    <t>victoriojr.gracia@fujitsu.com</t>
  </si>
  <si>
    <t>Gramatica, Cristhoper</t>
  </si>
  <si>
    <t>c.gramatica@fujitsu.com</t>
  </si>
  <si>
    <t>Guaniezo, Joyce</t>
  </si>
  <si>
    <t>j.guaniezo@fujitsu.com</t>
  </si>
  <si>
    <t>Guerra, Richard</t>
  </si>
  <si>
    <t>richard.guerra@fujitsu.com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</si>
  <si>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</si>
  <si>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</si>
  <si>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</si>
  <si>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</si>
  <si>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</si>
  <si>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</si>
  <si>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Gumtang, Crismale John</t>
  </si>
  <si>
    <t>c.gumtang@fujitsu.com</t>
  </si>
  <si>
    <t>Gungog, Melvin</t>
  </si>
  <si>
    <t>m.gungog@fujitsu.com</t>
  </si>
  <si>
    <t>Gurtiza, Kristine</t>
  </si>
  <si>
    <t>kristine.gurtiza@fujitsu.com</t>
  </si>
  <si>
    <t>Hababag, Aaron</t>
  </si>
  <si>
    <t>aaron.hababag@fujitsu.com</t>
  </si>
  <si>
    <t>Haya, Elsie</t>
  </si>
  <si>
    <t>e.haya@fujitsu.com</t>
  </si>
  <si>
    <t>Heath, Christopher Adam</t>
  </si>
  <si>
    <t>ca.heath@fujitsu.com</t>
  </si>
  <si>
    <t>Hermoso, Vicente III</t>
  </si>
  <si>
    <t>v.hermoso@fujitsu.com</t>
  </si>
  <si>
    <t>Hernandez, Jovin</t>
  </si>
  <si>
    <t>jo.hernandez@fujitsu.com</t>
  </si>
  <si>
    <t>Hilado, Arthur</t>
  </si>
  <si>
    <t>a.hilado@fujitsu.com</t>
  </si>
  <si>
    <t>Hiluano, Ryan Mark</t>
  </si>
  <si>
    <t>r.hiluano@fujitsu.com</t>
  </si>
  <si>
    <t>Hinayon, Rolan</t>
  </si>
  <si>
    <t>r.hinayon@fujitsu.com</t>
  </si>
  <si>
    <t>Hispano, Christopher John</t>
  </si>
  <si>
    <t>ch.hispano@fujitsu.com</t>
  </si>
  <si>
    <t>Historillo, Mike Bryan</t>
  </si>
  <si>
    <t>m.historill@fujitsu.com</t>
  </si>
  <si>
    <t>Holgado, Jonathan</t>
  </si>
  <si>
    <t>j.holgado@fujitsu.com</t>
  </si>
  <si>
    <t>Hortelano, Rubilyn</t>
  </si>
  <si>
    <t>r.hortelano@fujitsu.com</t>
  </si>
  <si>
    <t>Hortilano, Jovanie</t>
  </si>
  <si>
    <t>j.hortilano@fujitsu.com</t>
  </si>
  <si>
    <t>Icoy, Rogeno Mar</t>
  </si>
  <si>
    <t>r.icoy@fujitsu.com</t>
  </si>
  <si>
    <t>Idei, Yasunori</t>
  </si>
  <si>
    <t>y.idei@fujitsu.com</t>
  </si>
  <si>
    <t>Iglesia, Derrick</t>
  </si>
  <si>
    <t>d.iglesia@fujitsu.com</t>
  </si>
  <si>
    <t>Ignacio, Lovely Mae</t>
  </si>
  <si>
    <t>l.ignacio@fujitsu.com</t>
  </si>
  <si>
    <t>Ignacio, Jomar</t>
  </si>
  <si>
    <t>jomar.ignacio@fujitsu.com</t>
  </si>
  <si>
    <t>Ignalig, Imarie</t>
  </si>
  <si>
    <t>i.ignalig@fujitsu.com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</si>
  <si>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</si>
  <si>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</si>
  <si>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</si>
  <si>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</si>
  <si>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</si>
  <si>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</si>
  <si>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Ilao, Robert Allan</t>
  </si>
  <si>
    <t>ra.ilao@fujitsu.com</t>
  </si>
  <si>
    <t>Imperial, Dominique Glenn</t>
  </si>
  <si>
    <t>dg.imperial@fujitsu.com</t>
  </si>
  <si>
    <t>Inage, Yuya</t>
  </si>
  <si>
    <t>yu.inage@fujitsu.com</t>
  </si>
  <si>
    <t>Intud, Chez Andrew</t>
  </si>
  <si>
    <t>c.intud@fujitsu.com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</si>
  <si>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</si>
  <si>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</si>
  <si>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</si>
  <si>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</si>
  <si>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</si>
  <si>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</si>
  <si>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Ismael, Jose Fernando</t>
  </si>
  <si>
    <t>j.ismael@fujitsu.com</t>
  </si>
  <si>
    <t>Isobe, Koichi</t>
  </si>
  <si>
    <t>k.isobe@fujitsu.com</t>
  </si>
  <si>
    <t>Israel, Emmanuel Jason</t>
  </si>
  <si>
    <t>ej.israel@fujitsu.com</t>
  </si>
  <si>
    <t>Iwarat, Jhon Harvey</t>
  </si>
  <si>
    <t>j.iwarat@fujitsu.com</t>
  </si>
  <si>
    <t>Jabagat, Josephine Iris</t>
  </si>
  <si>
    <t>josephineiris.jabagat@fujitsu.com</t>
  </si>
  <si>
    <t>Jacama, Archel</t>
  </si>
  <si>
    <t>a.jacama@fujitsu.com</t>
  </si>
  <si>
    <t>Jacobe, John Lemmuel</t>
  </si>
  <si>
    <t>j.jacobe@fujitsu.com</t>
  </si>
  <si>
    <t>Jamilan, Evijoy</t>
  </si>
  <si>
    <t>e.jamilan@fujitsu.com</t>
  </si>
  <si>
    <t>Javier, Aeron Aira</t>
  </si>
  <si>
    <t>aeronaira.javier@fujitsu.com</t>
  </si>
  <si>
    <t>Jemera, Ronie</t>
  </si>
  <si>
    <t>r.jemera@fujitsu.com</t>
  </si>
  <si>
    <t>Jesalva, Arjay</t>
  </si>
  <si>
    <t>a.jesalva@fujitsu.com</t>
  </si>
  <si>
    <t>Jimenez, John Carlo</t>
  </si>
  <si>
    <t>jc.jimenez@fujitsu.com</t>
  </si>
  <si>
    <t>Jimenez, Shanyl</t>
  </si>
  <si>
    <t>s.jimenez@fujitsu.com</t>
  </si>
  <si>
    <t>Jimenez, Philip</t>
  </si>
  <si>
    <t>je.jimenez@fujitsu.com</t>
  </si>
  <si>
    <t>Jimenez, Ron Jovaneil</t>
  </si>
  <si>
    <t>jimenez.ronjovaneil@fujitsu.com</t>
  </si>
  <si>
    <t>Jocson, Marvin Caesar</t>
  </si>
  <si>
    <t>mc.jocson@fujitsu.com</t>
  </si>
  <si>
    <t>Joson, Sheila</t>
  </si>
  <si>
    <t>s.joson@fujitsu.com</t>
  </si>
  <si>
    <t>Juan, Erick</t>
  </si>
  <si>
    <t>er.juan@fujitsu.com</t>
  </si>
  <si>
    <t>Jumao-as, Jeno</t>
  </si>
  <si>
    <t>j.jumao-as@fujitsu.com</t>
  </si>
  <si>
    <t>Jumapao, Alien</t>
  </si>
  <si>
    <t>alien.jumapao@fujitsu.com</t>
  </si>
  <si>
    <t>Juntila, Jessica Gail</t>
  </si>
  <si>
    <t>jessicagail.juntila@fujitsu.com</t>
  </si>
  <si>
    <t>Kabahar, Jemilee</t>
  </si>
  <si>
    <t>j.kabahar@fujitsu.com</t>
  </si>
  <si>
    <t>Kakuta, Alyssa Shane</t>
  </si>
  <si>
    <t>alyssashane.kakuta@fujitsu.com</t>
  </si>
  <si>
    <t>Kasayan, Erikson</t>
  </si>
  <si>
    <t>e.kasayan@fujitsu.com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</si>
  <si>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</si>
  <si>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</si>
  <si>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</si>
  <si>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</si>
  <si>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</si>
  <si>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</si>
  <si>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</si>
  <si>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</si>
  <si>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</si>
  <si>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</si>
  <si>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</si>
  <si>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</si>
  <si>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Labada, Andrew</t>
  </si>
  <si>
    <t>a.labada@fujitsu.com</t>
  </si>
  <si>
    <t>Labador, Sweet Ophaline</t>
  </si>
  <si>
    <t>s.labador@fujitsu.com</t>
  </si>
  <si>
    <t>Labra, Ma. Teresa</t>
  </si>
  <si>
    <t>m.labra@fujitsu.com</t>
  </si>
  <si>
    <t>Lacanlalay, Arvin</t>
  </si>
  <si>
    <t>a.lacanlalay@fujitsu.com</t>
  </si>
  <si>
    <t>Lacay, Aldrin</t>
  </si>
  <si>
    <t>aldrin.lacay@fujitsu.com</t>
  </si>
  <si>
    <t>Lachica, Flory May</t>
  </si>
  <si>
    <t>fm.lachica@fujitsu.com</t>
  </si>
  <si>
    <t>Lacorte, Sherilyn</t>
  </si>
  <si>
    <t>sherilyn.lacorte@fujitsu.com</t>
  </si>
  <si>
    <t>Lacson, Louie Lawrence</t>
  </si>
  <si>
    <t>louielawrence.lacson@fujitsu.com</t>
  </si>
  <si>
    <t>Ladaga, Grachelle</t>
  </si>
  <si>
    <t>g.ladaga@fujitsu.com</t>
  </si>
  <si>
    <t>Lagunilla, Kenneth</t>
  </si>
  <si>
    <t>ko.lagunilla@fujitsu.com</t>
  </si>
  <si>
    <t>Laig, Jonnel</t>
  </si>
  <si>
    <t>jo.laig@fujitsu.com</t>
  </si>
  <si>
    <t>Lanaja, Joemarie</t>
  </si>
  <si>
    <t>j.lanaja@fujitsu.com</t>
  </si>
  <si>
    <t>Landayan, Lanz Joshua</t>
  </si>
  <si>
    <t>lj.landayan@fujitsu.com</t>
  </si>
  <si>
    <t>Lansangan, Jonathan</t>
  </si>
  <si>
    <t>j.lansangan@fujitsu.com</t>
  </si>
  <si>
    <t>Lao, Joseph Alain</t>
  </si>
  <si>
    <t>j.lao@fujitsu.com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</si>
  <si>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</si>
  <si>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</si>
  <si>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</si>
  <si>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</si>
  <si>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</si>
  <si>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</si>
  <si>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Lapuz, Camille Joie</t>
  </si>
  <si>
    <t>camillejoie.lapuz@fujitsu.com</t>
  </si>
  <si>
    <t>Lara, Rene</t>
  </si>
  <si>
    <t>rene.lara@fujitsu.com</t>
  </si>
  <si>
    <t>Laruan, Claribelle</t>
  </si>
  <si>
    <t>c.laruan@fujitsu.com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</si>
  <si>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</si>
  <si>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</si>
  <si>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</si>
  <si>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</si>
  <si>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</si>
  <si>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</si>
  <si>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</si>
  <si>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</si>
  <si>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</si>
  <si>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</si>
  <si>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Lavadia, Angela Melissa</t>
  </si>
  <si>
    <t>a.lavadia@fujitsu.com</t>
  </si>
  <si>
    <t>Lawas, Heroaki Anthony</t>
  </si>
  <si>
    <t>h.lawas@fujitsu.com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</si>
  <si>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</si>
  <si>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</si>
  <si>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</si>
  <si>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</si>
  <si>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</si>
  <si>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</si>
  <si>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Richard</t>
  </si>
  <si>
    <t>r.lazaro@fujitsu.com</t>
  </si>
  <si>
    <t>Lectura, Vivienne Carl</t>
  </si>
  <si>
    <t>v.lectura@fujitsu.com</t>
  </si>
  <si>
    <t>Legaspi, Jemmie Marie</t>
  </si>
  <si>
    <t>jm.legaspi@fujitsu.com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</si>
  <si>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</si>
  <si>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</si>
  <si>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</si>
  <si>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</si>
  <si>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</si>
  <si>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</si>
  <si>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</si>
  <si>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</si>
  <si>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Leycano, John Lester</t>
  </si>
  <si>
    <t>jl.leycano@fujitsu.com</t>
  </si>
  <si>
    <t>Leyritana, Julienne</t>
  </si>
  <si>
    <t>j.leyritana@fujitsu.com</t>
  </si>
  <si>
    <t>Liao, Maria Anastacia</t>
  </si>
  <si>
    <t>mariaanastacia.liao@fujitsu.com</t>
  </si>
  <si>
    <t>Licayan, Lordly</t>
  </si>
  <si>
    <t>l.licayan@fujitsu.com</t>
  </si>
  <si>
    <t>Ligad, Joshua</t>
  </si>
  <si>
    <t>joshua.ligad@fujitsu.com</t>
  </si>
  <si>
    <t>Lim, Mark Jude</t>
  </si>
  <si>
    <t>m.lim@fujitsu.com</t>
  </si>
  <si>
    <t>Lim, Richard</t>
  </si>
  <si>
    <t>r.lim@fujitsu.com</t>
  </si>
  <si>
    <t>Lim, Rainer John</t>
  </si>
  <si>
    <t>rs.lim@fujitsu.com</t>
  </si>
  <si>
    <t>Lim, Allison Anne</t>
  </si>
  <si>
    <t>aa.lim@fujitsu.com</t>
  </si>
  <si>
    <t>Limbo, Mhersky</t>
  </si>
  <si>
    <t>m.limbo@fujitsu.com</t>
  </si>
  <si>
    <t>Limbo, Rafael</t>
  </si>
  <si>
    <t>rm.limbo@fujitsu.com</t>
  </si>
  <si>
    <t>Limbo, John Patrick</t>
  </si>
  <si>
    <t>johnpatrick.limbo@fujitsu.com</t>
  </si>
  <si>
    <t>Limosenero, Daniel Kent</t>
  </si>
  <si>
    <t>limosenero.danielkent@fujitsu.com</t>
  </si>
  <si>
    <t>Lintag, Gerico</t>
  </si>
  <si>
    <t>g.lintag@fujitsu.com</t>
  </si>
  <si>
    <t>Lira, Juan Paolo</t>
  </si>
  <si>
    <t>j.lira@fujitsu.com</t>
  </si>
  <si>
    <t>Lisondra, Joselito</t>
  </si>
  <si>
    <t>j.lisondra@fujitsu.com</t>
  </si>
  <si>
    <t>Liwag, Mark Joseph</t>
  </si>
  <si>
    <t>mj.liwag@fujitsu.com</t>
  </si>
  <si>
    <t>Liwanag, Jay</t>
  </si>
  <si>
    <t>ja.liwanag@fujitsu.com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</si>
  <si>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</si>
  <si>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</si>
  <si>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</si>
  <si>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</si>
  <si>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</si>
  <si>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</si>
  <si>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Lobo, Enrique Jr.</t>
  </si>
  <si>
    <t>e.lobo@fujitsu.com</t>
  </si>
  <si>
    <t>Lopez, Jenilyn</t>
  </si>
  <si>
    <t>jenilyn.lopez@fujitsu.com</t>
  </si>
  <si>
    <t>Lopez, Justine Paolo</t>
  </si>
  <si>
    <t>lopez.justinepaolo@fujitsu.com</t>
  </si>
  <si>
    <t>Lopez, Bryan John</t>
  </si>
  <si>
    <t>bryanjohn.lopez@fujitsu.com</t>
  </si>
  <si>
    <t>Loquillano, Noel</t>
  </si>
  <si>
    <t>n.loquillano@fujitsu.com</t>
  </si>
  <si>
    <t>Lorejo, Jan Ray</t>
  </si>
  <si>
    <t>jr.lorejo@fujitsu.com</t>
  </si>
  <si>
    <t>Lorenzo, Loyce</t>
  </si>
  <si>
    <t>l.lorenzo@fujitsu.com</t>
  </si>
  <si>
    <t>Loreto, Christine Joy</t>
  </si>
  <si>
    <t>christinejoy.loreto@fujitsu.com</t>
  </si>
  <si>
    <t>Lorque, Alvin</t>
  </si>
  <si>
    <t>a.lorque@fujitsu.com</t>
  </si>
  <si>
    <t>Losbañes, Noriel</t>
  </si>
  <si>
    <t>n.losbanes@fujitsu.com</t>
  </si>
  <si>
    <t>Lucero, Edgar</t>
  </si>
  <si>
    <t>eg.lucero@fujitsu.com</t>
  </si>
  <si>
    <t>Lugtu, Jeremai Lynne</t>
  </si>
  <si>
    <t>j.lugtu@fujitsu.com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</si>
  <si>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</si>
  <si>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</si>
  <si>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</si>
  <si>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</si>
  <si>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</si>
  <si>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</si>
  <si>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</si>
  <si>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</si>
  <si>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</si>
  <si>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</si>
  <si>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</si>
  <si>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</si>
  <si>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Lupo, Nerisa</t>
  </si>
  <si>
    <t>n.lupo@fujitsu.com</t>
  </si>
  <si>
    <t>Lupo, Kenneth John</t>
  </si>
  <si>
    <t>k.lupo@fujitsu.com</t>
  </si>
  <si>
    <t>Mabale, Geraldine</t>
  </si>
  <si>
    <t>g.mabale@fujitsu.com</t>
  </si>
  <si>
    <t>Mabasa, Norbert</t>
  </si>
  <si>
    <t>n.mabasa@fujitsu.com</t>
  </si>
  <si>
    <t>Macabudbud, Jay Ian</t>
  </si>
  <si>
    <t>j.macabudbud@fujitsu.com</t>
  </si>
  <si>
    <t>Macabugao, Janella Marie</t>
  </si>
  <si>
    <t>j.macabugao@fujitsu.com</t>
  </si>
  <si>
    <t>Macasaet, Neil Tracy</t>
  </si>
  <si>
    <t>n.macasaet@fujitsu.com</t>
  </si>
  <si>
    <t>Macatangay, Christian Paul</t>
  </si>
  <si>
    <t>c.macatangay@fujitsu.com</t>
  </si>
  <si>
    <t>Macatuno, Ryan Jorell</t>
  </si>
  <si>
    <t>r.macatuno@fujitsu.com</t>
  </si>
  <si>
    <t>Maceren, Jonathan Steve</t>
  </si>
  <si>
    <t>jo.maceren@fujitsu.com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</si>
  <si>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</si>
  <si>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</si>
  <si>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</si>
  <si>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</si>
  <si>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</si>
  <si>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</si>
  <si>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</si>
  <si>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</si>
  <si>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</si>
  <si>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</si>
  <si>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Magale, Junel</t>
  </si>
  <si>
    <t>j.magale@fujitsu.com</t>
  </si>
  <si>
    <t>Magayon, Jude</t>
  </si>
  <si>
    <t>jude.magayon@fujitsu.com</t>
  </si>
  <si>
    <t>Magbag, Jeffrey</t>
  </si>
  <si>
    <t>jeffrey.magbag@fujitsu.com</t>
  </si>
  <si>
    <t>Maghinay, Arvin</t>
  </si>
  <si>
    <t>a.maghinay@fujitsu.com</t>
  </si>
  <si>
    <t>Magpantay, Adrian</t>
  </si>
  <si>
    <t>a.magpantay@fujitsu.com</t>
  </si>
  <si>
    <t>Magto, Carme Lou</t>
  </si>
  <si>
    <t>cl.magto@fujitsu.com</t>
  </si>
  <si>
    <t>Malait, Anthony</t>
  </si>
  <si>
    <t>a.malait@fujitsu.com</t>
  </si>
  <si>
    <t>Malaluan, Christine Lhor</t>
  </si>
  <si>
    <t>c.malaluan@fujitsu.com</t>
  </si>
  <si>
    <t>Malinao, Lloyd Christopher</t>
  </si>
  <si>
    <t>lc.malinao@fujitsu.com</t>
  </si>
  <si>
    <t>Maloloy-on, James</t>
  </si>
  <si>
    <t>james.maloloyon@fujitsu.com</t>
  </si>
  <si>
    <t>Maluya, Sabrina</t>
  </si>
  <si>
    <t>s.maluya@fujitsu.com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</si>
  <si>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</si>
  <si>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</si>
  <si>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</si>
  <si>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</si>
  <si>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</si>
  <si>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</si>
  <si>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</si>
  <si>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</si>
  <si>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Manalo, Lester</t>
  </si>
  <si>
    <t>le.manalo@fujitsu.com</t>
  </si>
  <si>
    <t>Manalo, Djhell</t>
  </si>
  <si>
    <t>d.manalo@fujitsu.com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</si>
  <si>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</si>
  <si>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</si>
  <si>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</si>
  <si>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</si>
  <si>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</si>
  <si>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</si>
  <si>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</si>
  <si>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</si>
  <si>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</si>
  <si>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</si>
  <si>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</si>
  <si>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</si>
  <si>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Manuel, Micaela Ernee</t>
  </si>
  <si>
    <t>me.manuel@fujitsu.com</t>
  </si>
  <si>
    <t>Manzanillo, Patrick</t>
  </si>
  <si>
    <t>patrick.manzanillo@fujitsu.com</t>
  </si>
  <si>
    <t>Maraña, Gil Martin</t>
  </si>
  <si>
    <t>g.marana@fujitsu.com</t>
  </si>
  <si>
    <t>Marasigan, Rommel</t>
  </si>
  <si>
    <t>r.marasigan@fujitsu.com</t>
  </si>
  <si>
    <t>Marasigan, Donna Mae</t>
  </si>
  <si>
    <t>donnamae.marasigan@fujitsu.com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</si>
  <si>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</si>
  <si>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</si>
  <si>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</si>
  <si>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</si>
  <si>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</si>
  <si>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</si>
  <si>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Gerardine Joy</t>
  </si>
  <si>
    <t>gerardinejoy.marcelo@fujitsu.com</t>
  </si>
  <si>
    <t>Marcelo, Angelu</t>
  </si>
  <si>
    <t>marcelo.angelu@fujitsu.com</t>
  </si>
  <si>
    <t>Margallo, Jhunn Michael</t>
  </si>
  <si>
    <t>jm.margallo@fujitsu.com</t>
  </si>
  <si>
    <t>Marqueses, Kenneth</t>
  </si>
  <si>
    <t>k.marqueses@fujitsu.com</t>
  </si>
  <si>
    <t>Martin, John Daniel</t>
  </si>
  <si>
    <t>jm.martin@fujitsu.com</t>
  </si>
  <si>
    <t>Martinez, Krisha Rain</t>
  </si>
  <si>
    <t>krisharain.martinez@fujitsu.com</t>
  </si>
  <si>
    <t>Martino, Pauline</t>
  </si>
  <si>
    <t>p.martino@fujitsu.com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</si>
  <si>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</si>
  <si>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</si>
  <si>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</si>
  <si>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</si>
  <si>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</si>
  <si>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</si>
  <si>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</si>
  <si>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</si>
  <si>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</si>
  <si>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</si>
  <si>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</si>
  <si>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</si>
  <si>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Yoshitake</t>
  </si>
  <si>
    <t>y.matsumoto@fujitsu.com</t>
  </si>
  <si>
    <t>Matsushita, Reira</t>
  </si>
  <si>
    <t>r.matsushita@fujitsu.com</t>
  </si>
  <si>
    <t>Mauhay, Domingo Jr.</t>
  </si>
  <si>
    <t>d.mauhay@fujitsu.com</t>
  </si>
  <si>
    <t>Medina, Eric John</t>
  </si>
  <si>
    <t>ej.medina@fujitsu.com</t>
  </si>
  <si>
    <t>Medina, Marvin</t>
  </si>
  <si>
    <t>marvin.medina@fujitsu.com</t>
  </si>
  <si>
    <t>Mempin, Regine</t>
  </si>
  <si>
    <t>regine.mempin@fujitsu.com</t>
  </si>
  <si>
    <t>Mendoza, Ariane Rose</t>
  </si>
  <si>
    <t>a.mendoza@fujitsu.com</t>
  </si>
  <si>
    <t>Mendoza, Patricia Ann</t>
  </si>
  <si>
    <t>pb.mendoza@fujitsu.com</t>
  </si>
  <si>
    <t>Mendoza, Luigi</t>
  </si>
  <si>
    <t>l.mendoza@fujitsu.com</t>
  </si>
  <si>
    <t>Merced, Bryan</t>
  </si>
  <si>
    <t>b.merced@fujitsu.com</t>
  </si>
  <si>
    <t>Militante, Jeffrey</t>
  </si>
  <si>
    <t>je.militante@fujitsu.com</t>
  </si>
  <si>
    <t>Mina, Jan Joshua</t>
  </si>
  <si>
    <t>jj.mina@fujitsu.com</t>
  </si>
  <si>
    <t>Miñoza, Michael Angelo</t>
  </si>
  <si>
    <t>ma.minoza@fujitsu.com</t>
  </si>
  <si>
    <t>Miraballes, Ma. Ana Casandra</t>
  </si>
  <si>
    <t>m.miraballes@fujitsu.com</t>
  </si>
  <si>
    <t>Miranda, Thea Clarice</t>
  </si>
  <si>
    <t>t.miranda@fujitsu.com</t>
  </si>
  <si>
    <t>Miranda, Levie James</t>
  </si>
  <si>
    <t>lj.miranda@fujitsu.com</t>
  </si>
  <si>
    <t>Mirano, Miguel</t>
  </si>
  <si>
    <t>miguel.mirano@fujitsu.com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</si>
  <si>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</si>
  <si>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</si>
  <si>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</si>
  <si>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</si>
  <si>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</si>
  <si>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</si>
  <si>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Molina, Reymon Christian</t>
  </si>
  <si>
    <t>r.molina@fujitsu.com</t>
  </si>
  <si>
    <t>Molitas, Kristine Joy</t>
  </si>
  <si>
    <t>kristinejoy.molitas@fujitsu.com</t>
  </si>
  <si>
    <t>Moncada, Carl Vincent</t>
  </si>
  <si>
    <t>carlvincent.moncada@fujitsu.com</t>
  </si>
  <si>
    <t>JDU-ITH CEB</t>
  </si>
  <si>
    <t>Mondares, Melvin</t>
  </si>
  <si>
    <t>melvin.mondares@fujitsu.com</t>
  </si>
  <si>
    <t>Mondiguing, Ali Brian</t>
  </si>
  <si>
    <t>a.mondiguing@fujitsu.com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</si>
  <si>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</si>
  <si>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</si>
  <si>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</si>
  <si>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</si>
  <si>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</si>
  <si>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</si>
  <si>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Montealto, Kyle Shem</t>
  </si>
  <si>
    <t>k.montealto@fujitsu.com</t>
  </si>
  <si>
    <t>Montejo, Gavin Conrad</t>
  </si>
  <si>
    <t>g.montejo@fujitsu.com</t>
  </si>
  <si>
    <t>Montemayor, Joshua</t>
  </si>
  <si>
    <t>j.montemayor@fujitsu.com</t>
  </si>
  <si>
    <t>Monterde, Gurly John</t>
  </si>
  <si>
    <t>g.monterde@fujitsu.com</t>
  </si>
  <si>
    <t>Montes, Jovet</t>
  </si>
  <si>
    <t>jb.montes@fujitsu.com</t>
  </si>
  <si>
    <t>Morados, Ernest Cleo</t>
  </si>
  <si>
    <t>ec.morados@fujitsu.com</t>
  </si>
  <si>
    <t>Moraga, Jose Enjamemar</t>
  </si>
  <si>
    <t>j.moraga@fujitsu.com</t>
  </si>
  <si>
    <t>Morales, Ana Belle</t>
  </si>
  <si>
    <t>a.morales@fujitsu.com</t>
  </si>
  <si>
    <t>Morales, Marvin</t>
  </si>
  <si>
    <t>m.morales@fujitsu.com</t>
  </si>
  <si>
    <t>Moro, Khim Niño</t>
  </si>
  <si>
    <t>kn.moro@fujitsu.com</t>
  </si>
  <si>
    <t>Munda, Marie Kristine</t>
  </si>
  <si>
    <t>mk.munda@fujitsu.com</t>
  </si>
  <si>
    <t>Muring, Roniel</t>
  </si>
  <si>
    <t>r.muring@fujitsu.com</t>
  </si>
  <si>
    <t>Mutia, Kim Brian</t>
  </si>
  <si>
    <t>k.mutia@fujitsu.com</t>
  </si>
  <si>
    <t>Nacar, Ray Vincent</t>
  </si>
  <si>
    <t>r.nacar@fujitsu.com</t>
  </si>
  <si>
    <t>Nacario, Ara Mae</t>
  </si>
  <si>
    <t>a.nacario@fujitsu.com</t>
  </si>
  <si>
    <t>Nagpacan, Jovane</t>
  </si>
  <si>
    <t>j.nagpacan@fujitsu.com</t>
  </si>
  <si>
    <t>Nakamura, Riko</t>
  </si>
  <si>
    <t>ri.nakamura@fujitsu.com</t>
  </si>
  <si>
    <t>Nalasa, Prince Lowie</t>
  </si>
  <si>
    <t>p.nalasa@fujitsu.com</t>
  </si>
  <si>
    <t>Nanong, Ronald Darren</t>
  </si>
  <si>
    <t>r.nanong@fujitsu.com</t>
  </si>
  <si>
    <t>Nanquil, Paula Jem</t>
  </si>
  <si>
    <t>paulajem.nanquil@fujitsu.com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</si>
  <si>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</si>
  <si>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</si>
  <si>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</si>
  <si>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</si>
  <si>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</si>
  <si>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</si>
  <si>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</si>
  <si>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</si>
  <si>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Narvaez, Michael Angelo</t>
  </si>
  <si>
    <t>m.narvaez@fujitsu.com</t>
  </si>
  <si>
    <t>Nas, Cedric</t>
  </si>
  <si>
    <t>c.nas@fujitsu.com</t>
  </si>
  <si>
    <t>Natuel, Ron Aldrian</t>
  </si>
  <si>
    <t>ra.natuel@fujitsu.com</t>
  </si>
  <si>
    <t>Naval, Rosalyn</t>
  </si>
  <si>
    <t>rl.naval@fujitsu.com</t>
  </si>
  <si>
    <t>Navalesca, John Andrew</t>
  </si>
  <si>
    <t>ja.navalesca@fujitsu.com</t>
  </si>
  <si>
    <t>Navarez, Mar Anjorie</t>
  </si>
  <si>
    <t>maranjorie.navarez@fujitsu.com</t>
  </si>
  <si>
    <t>Navarrete, Gemma</t>
  </si>
  <si>
    <t>g.navarrete@fujitsu.com</t>
  </si>
  <si>
    <t>Navarro, Avelino Jr.</t>
  </si>
  <si>
    <t>af.navarro@fujitsu.com</t>
  </si>
  <si>
    <t>Navarro, Arlene Faye</t>
  </si>
  <si>
    <t>ar.navarro@fujitsu.com</t>
  </si>
  <si>
    <t>Navarro, Nechelle</t>
  </si>
  <si>
    <t>ne.navarro@fujitsu.com</t>
  </si>
  <si>
    <t>Navidad, Mikaela</t>
  </si>
  <si>
    <t>m.navidad@fujitsu.com</t>
  </si>
  <si>
    <t>Nengasca, Patrick James</t>
  </si>
  <si>
    <t>p.nengasca@fujitsu.com</t>
  </si>
  <si>
    <t>Ng, Michael</t>
  </si>
  <si>
    <t>mu.ng@fujitsu.com</t>
  </si>
  <si>
    <t>Nilo, Nikko Joshua</t>
  </si>
  <si>
    <t>nj.nilo@fujitsu.com</t>
  </si>
  <si>
    <t>Nolasco, Czonuel Ken</t>
  </si>
  <si>
    <t>c.nolasco@fujitsu.com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</si>
  <si>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</si>
  <si>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</si>
  <si>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</si>
  <si>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</si>
  <si>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</si>
  <si>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</si>
  <si>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</si>
  <si>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</si>
  <si>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Obial, Jay</t>
  </si>
  <si>
    <t>j.obial@fujitsu.com</t>
  </si>
  <si>
    <t>Obille, Roy Brian</t>
  </si>
  <si>
    <t>r.obille@fujitsu.com</t>
  </si>
  <si>
    <t>Obmaña, Karen</t>
  </si>
  <si>
    <t>k.obmana@fujitsu.com</t>
  </si>
  <si>
    <t>Obra, Roummel Jess</t>
  </si>
  <si>
    <t>roummeljess.obra@fujitsu.com</t>
  </si>
  <si>
    <t>Ocampo, Melvin</t>
  </si>
  <si>
    <t>m.ocampo@fujitsu.com</t>
  </si>
  <si>
    <t>Ocampo, Mary Joy</t>
  </si>
  <si>
    <t>ms.ocampo@fujitsu.com</t>
  </si>
  <si>
    <t>Ocho, Rosario</t>
  </si>
  <si>
    <t>r.ocho@fujitsu.com</t>
  </si>
  <si>
    <t>Ociones, RC Mae</t>
  </si>
  <si>
    <t>r.ociones@fujitsu.com</t>
  </si>
  <si>
    <t>Okada, Michael</t>
  </si>
  <si>
    <t>michael.okada@fujitsu.com</t>
  </si>
  <si>
    <t>Olavere, Marlfer</t>
  </si>
  <si>
    <t>m.olavere@fujitsu.com</t>
  </si>
  <si>
    <t>Olela, Aljon</t>
  </si>
  <si>
    <t>a.olela@fujitsu.com</t>
  </si>
  <si>
    <t>Ollada, Carl Laurence</t>
  </si>
  <si>
    <t>c.ollada@fujitsu.com</t>
  </si>
  <si>
    <t>Ollica, Junjun</t>
  </si>
  <si>
    <t>j.ollica@fujitsu.com</t>
  </si>
  <si>
    <t>Olores, Ralph</t>
  </si>
  <si>
    <t>ralph.olores@fujitsu.com</t>
  </si>
  <si>
    <t>Omictin, Earl June</t>
  </si>
  <si>
    <t>ej.omictin@fujitsu.com</t>
  </si>
  <si>
    <t>Ong, Erika Jean</t>
  </si>
  <si>
    <t>er.ong@fujitsu.com</t>
  </si>
  <si>
    <t>Ong, Jan Michael</t>
  </si>
  <si>
    <t>janmichael.ong@fujitsu.com</t>
  </si>
  <si>
    <t>Opo, Alfie</t>
  </si>
  <si>
    <t>a.opo@fujitsu.com</t>
  </si>
  <si>
    <t>Orbida, Alvin</t>
  </si>
  <si>
    <t>alvin.orbida@fujitsu.com</t>
  </si>
  <si>
    <t>Ordillano, Julie Ann</t>
  </si>
  <si>
    <t>j.ordillano@fujitsu.com</t>
  </si>
  <si>
    <t>Orevillo, Gem</t>
  </si>
  <si>
    <t>g.orevillo@fujitsu.com</t>
  </si>
  <si>
    <t>Orijuela, Lucio Jr.</t>
  </si>
  <si>
    <t>lucio.orijuelajr@fujitsu.com</t>
  </si>
  <si>
    <t>Orila, Josef</t>
  </si>
  <si>
    <t>jo.orila@fujitsu.com</t>
  </si>
  <si>
    <t>Orpilla, Jefferson</t>
  </si>
  <si>
    <t>Jefferson.Orpilla@fujitsu.com</t>
  </si>
  <si>
    <t>Ortega, Mc Richard</t>
  </si>
  <si>
    <t>m.ortega@fujitsu.com</t>
  </si>
  <si>
    <t>Ortega, Jeffrey</t>
  </si>
  <si>
    <t>j.ortega@fujitsu.com</t>
  </si>
  <si>
    <t>Osano, Liam</t>
  </si>
  <si>
    <t>l.osano@fujitsu.com</t>
  </si>
  <si>
    <t>Osorio, Lejun Christian</t>
  </si>
  <si>
    <t>lc.osorio@fujitsu.com</t>
  </si>
  <si>
    <t>Otadoy, Cliff Sean Kyle</t>
  </si>
  <si>
    <t>c.otadoy@fujitsu.com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</si>
  <si>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</si>
  <si>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</si>
  <si>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</si>
  <si>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</si>
  <si>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</si>
  <si>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</si>
  <si>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Pabonita, Gerald</t>
  </si>
  <si>
    <t>g.pabonita@fujitsu.com</t>
  </si>
  <si>
    <t>Pacaldo, Joyce Hyacinth</t>
  </si>
  <si>
    <t>j.pacaldo@fujitsu.com</t>
  </si>
  <si>
    <t>Pacete, Kristine</t>
  </si>
  <si>
    <t>k.pacete@fujitsu.com</t>
  </si>
  <si>
    <t>Pacleb, Vanessa Mae</t>
  </si>
  <si>
    <t>v.pacleb@fujitsu.com</t>
  </si>
  <si>
    <t>Paculanang, Ramon</t>
  </si>
  <si>
    <t>r.paculanang@fujitsu.com</t>
  </si>
  <si>
    <t>Padaca, Mariel</t>
  </si>
  <si>
    <t>m.padaca@fujitsu.com</t>
  </si>
  <si>
    <t>Padaon, Elleony</t>
  </si>
  <si>
    <t>el.padaon@fujitsu.com</t>
  </si>
  <si>
    <t>Padawan, Lorraine Joyce</t>
  </si>
  <si>
    <t>lorrainejoyce.padawan@fujitsu.com</t>
  </si>
  <si>
    <t>Pagulayan, Sheyenne Shamir</t>
  </si>
  <si>
    <t>s.pagulayan@fujitsu.com</t>
  </si>
  <si>
    <t>Palaad, Manuel Jr.</t>
  </si>
  <si>
    <t>manueljr.palaad@fujitsu.com</t>
  </si>
  <si>
    <t>Palacio, Jourdese</t>
  </si>
  <si>
    <t>j.palacio@fujitsu.com</t>
  </si>
  <si>
    <t>Palomata, Adan Christian</t>
  </si>
  <si>
    <t>a.palomata@fujitsu.com</t>
  </si>
  <si>
    <t>Pambid, Edryann Eiji</t>
  </si>
  <si>
    <t>e.pambid@fujitsu.com</t>
  </si>
  <si>
    <t>Pangan, Marc Earvin</t>
  </si>
  <si>
    <t>me.pangan@fujitsu.com</t>
  </si>
  <si>
    <t>Panganiban, Teresa</t>
  </si>
  <si>
    <t>t.panganiban@fujitsu.com</t>
  </si>
  <si>
    <t>Panganiban, Nerissa</t>
  </si>
  <si>
    <t>n.panganiban@fujitsu.com</t>
  </si>
  <si>
    <t>Panganiban, Azer</t>
  </si>
  <si>
    <t>az.panganiban@fujitsu.com</t>
  </si>
  <si>
    <t>Pangilin, Ma. Pia</t>
  </si>
  <si>
    <t>p.pangilin@fujitsu.com</t>
  </si>
  <si>
    <t>Pardiñan, Efren John</t>
  </si>
  <si>
    <t>efrenjohn.pardinan@fujitsu.com</t>
  </si>
  <si>
    <t>Parel, Jonalyn</t>
  </si>
  <si>
    <t>j.parel@fujitsu.com</t>
  </si>
  <si>
    <t>Parilla, Kevin</t>
  </si>
  <si>
    <t>ke.parilla@fujitsu.com</t>
  </si>
  <si>
    <t>Parreño, Arnel</t>
  </si>
  <si>
    <t>a.parreno@fujitsu.com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</si>
  <si>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</si>
  <si>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</si>
  <si>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</si>
  <si>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</si>
  <si>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</si>
  <si>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</si>
  <si>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</si>
  <si>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</si>
  <si>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Pattawi, Leumhar</t>
  </si>
  <si>
    <t>leumhar.pattawi@fujitsu.com</t>
  </si>
  <si>
    <t>Patungan, Raymond</t>
  </si>
  <si>
    <t>rf.patungan@fujitsu.com</t>
  </si>
  <si>
    <t>Payusan, Joseph Dane</t>
  </si>
  <si>
    <t>j.payusan@fujitsu.com</t>
  </si>
  <si>
    <t>Pelagio, Haven</t>
  </si>
  <si>
    <t>h.pelagio@fujitsu.com</t>
  </si>
  <si>
    <t>Pelias, Keiffer</t>
  </si>
  <si>
    <t>k.pelias@fujitsu.com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</si>
  <si>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</si>
  <si>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</si>
  <si>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</si>
  <si>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</si>
  <si>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</si>
  <si>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</si>
  <si>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Penuliar, Bryan</t>
  </si>
  <si>
    <t>b.penuliar@fujitsu.com</t>
  </si>
  <si>
    <t>Perez, Katherine</t>
  </si>
  <si>
    <t>k.perez@fujitsu.com</t>
  </si>
  <si>
    <t>Perez, Ronnel Roy</t>
  </si>
  <si>
    <t>r.perez@fujitsu.onmicrosoft.com</t>
  </si>
  <si>
    <t>Permano, Enrico</t>
  </si>
  <si>
    <t>enrico.permano@fujitsu.com</t>
  </si>
  <si>
    <t>Pestaño, Jee Marie</t>
  </si>
  <si>
    <t>j.pestano@fujitsu.com</t>
  </si>
  <si>
    <t>Pestaño, Gieanne Rose</t>
  </si>
  <si>
    <t>gr.pestano@fujitsu.com</t>
  </si>
  <si>
    <t>Piando, Onna</t>
  </si>
  <si>
    <t>o.piando@fujitsu.com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</si>
  <si>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</si>
  <si>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</si>
  <si>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</si>
  <si>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</si>
  <si>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</si>
  <si>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</si>
  <si>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Pimentel, Antonietta</t>
  </si>
  <si>
    <t>a.pimentel@fujitsu.com</t>
  </si>
  <si>
    <t>Pineda, Vicente Dominic</t>
  </si>
  <si>
    <t>v.pineda@fujitsu.com</t>
  </si>
  <si>
    <t>Pino, Ellius Lurenz</t>
  </si>
  <si>
    <t>e.pino@fujitsu.com</t>
  </si>
  <si>
    <t>Piscos, Reamon</t>
  </si>
  <si>
    <t>r.piscos@fujitsu.com</t>
  </si>
  <si>
    <t>Poblete, Rafael</t>
  </si>
  <si>
    <t>r.poblete@fujitsu.com</t>
  </si>
  <si>
    <t>Polancos, Leonardo III</t>
  </si>
  <si>
    <t>l.polancos@fujitsu.com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</si>
  <si>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</si>
  <si>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</si>
  <si>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</si>
  <si>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</si>
  <si>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</si>
  <si>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</si>
  <si>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</si>
  <si>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</si>
  <si>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</si>
  <si>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</si>
  <si>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Pornasdoro, Morris</t>
  </si>
  <si>
    <t>m.pornasdoro@fujitsu.com</t>
  </si>
  <si>
    <t>Porras, John Louie</t>
  </si>
  <si>
    <t>johnlouie.porras@fujitsu.com</t>
  </si>
  <si>
    <t>Potestad, Jefferson Consorcio</t>
  </si>
  <si>
    <t>j.potestad@fujitsu.com</t>
  </si>
  <si>
    <t>Povadora, Jonalyn</t>
  </si>
  <si>
    <t>j.povadora@fujitsu.com</t>
  </si>
  <si>
    <t>Povadora, Jennifer</t>
  </si>
  <si>
    <t>js.povadora@fujitsu.com</t>
  </si>
  <si>
    <t>Presco, Joseph Edrian</t>
  </si>
  <si>
    <t>je.presco@fujitsu.com</t>
  </si>
  <si>
    <t>Puerto, Kristian Rei</t>
  </si>
  <si>
    <t>k.puerto@fujitsu.com</t>
  </si>
  <si>
    <t>Pulga, Michael Karlo</t>
  </si>
  <si>
    <t>mk.pulga@fujitsu.com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</si>
  <si>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</si>
  <si>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</si>
  <si>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</si>
  <si>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</si>
  <si>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</si>
  <si>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</si>
  <si>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</si>
  <si>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</si>
  <si>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Quedding, Apollo Jr.</t>
  </si>
  <si>
    <t>a.quedding@fujitsu.com</t>
  </si>
  <si>
    <t>Querubin, Eddie Jr.</t>
  </si>
  <si>
    <t>e.querubin@fujitsu.com</t>
  </si>
  <si>
    <t>Quijada, Ramir Jr.</t>
  </si>
  <si>
    <t>r.quijada@fujitsu.com</t>
  </si>
  <si>
    <t>Quilala, Steven</t>
  </si>
  <si>
    <t>steven.quilala@fujitsu.com</t>
  </si>
  <si>
    <t>Quindoza, Alexander</t>
  </si>
  <si>
    <t>a.quindoza@fujitsu.com</t>
  </si>
  <si>
    <t>Quintia, Jan Michael</t>
  </si>
  <si>
    <t>j.quintia@fujitsu.com</t>
  </si>
  <si>
    <t>Quiohilag, Arcedillo</t>
  </si>
  <si>
    <t>aa.quiohilag@fujitsu.com</t>
  </si>
  <si>
    <t>Raagas, Ma. Pamela</t>
  </si>
  <si>
    <t>ma.raagas@fujitsu.com</t>
  </si>
  <si>
    <t>Rabasto, Don Eusebio II</t>
  </si>
  <si>
    <t>d.rabasto@fujitsu.com</t>
  </si>
  <si>
    <t>Racelis, Rochelle</t>
  </si>
  <si>
    <t>rochelle.racelis@fujitsu.com</t>
  </si>
  <si>
    <t>Radin, Fritzzy Rennu</t>
  </si>
  <si>
    <t>fr.radin@fujitsu.com</t>
  </si>
  <si>
    <t>Rafol, Richie</t>
  </si>
  <si>
    <t>richie.rafol@fujitsu.com</t>
  </si>
  <si>
    <t>Ragasajo, Dexter</t>
  </si>
  <si>
    <t>d.ragasajo@fujitsu.com</t>
  </si>
  <si>
    <t>Ramirez, Michael Edrian</t>
  </si>
  <si>
    <t>me.ramirez@fujitsu.com</t>
  </si>
  <si>
    <t>Ramirez, Beatrice Micaela</t>
  </si>
  <si>
    <t>bm.ramirez@fujitsu.com</t>
  </si>
  <si>
    <t>Ramos, Love Joy</t>
  </si>
  <si>
    <t>l.ramos@fujitsu.com</t>
  </si>
  <si>
    <t>Ramos, Ramon</t>
  </si>
  <si>
    <t>r.ramos@fujitsu.com</t>
  </si>
  <si>
    <t>Ramos, Reynaldo Jr.</t>
  </si>
  <si>
    <t>re.ramos@fujitsu.com</t>
  </si>
  <si>
    <t>Ramos, Harlan Lucas</t>
  </si>
  <si>
    <t>hl.ramos@fujitsu.com</t>
  </si>
  <si>
    <t>Ramos, Michelle Ann</t>
  </si>
  <si>
    <t>michelleann.ramos@fujitsu.com</t>
  </si>
  <si>
    <t>Ranos, Ritchelda May</t>
  </si>
  <si>
    <t>ritcheldamay.ranos@fujitsu.com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</si>
  <si>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</si>
  <si>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</si>
  <si>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</si>
  <si>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</si>
  <si>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</si>
  <si>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</si>
  <si>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Redor, Michael</t>
  </si>
  <si>
    <t>m.redor@fujitsu.com</t>
  </si>
  <si>
    <t>Regalado, Francis Lorrenz</t>
  </si>
  <si>
    <t>Francis.Regalado@fujitsu.com</t>
  </si>
  <si>
    <t>Rejulio, Renz Jacob</t>
  </si>
  <si>
    <t>r.rejulio@fujitsu.com</t>
  </si>
  <si>
    <t>Repoyla, Junrey</t>
  </si>
  <si>
    <t>j.repoyla@fujitsu.com</t>
  </si>
  <si>
    <t>Resaba, Enrico Dominic</t>
  </si>
  <si>
    <t>enricodominic.resaba@fujitsu.com</t>
  </si>
  <si>
    <t>Resma, Alex</t>
  </si>
  <si>
    <t>alex.resma@fujitsu.com</t>
  </si>
  <si>
    <t>Retiza, John Kevin</t>
  </si>
  <si>
    <t>j.retiza@fujitsu.com</t>
  </si>
  <si>
    <t>Revestir, Marvin</t>
  </si>
  <si>
    <t>m.revestir@fujitsu.com</t>
  </si>
  <si>
    <t>Reyes, Anna Marie</t>
  </si>
  <si>
    <t>am.reyes@fujitsu.com</t>
  </si>
  <si>
    <t>Reyes, Jeremaiah</t>
  </si>
  <si>
    <t>jm.reyes@fujitsu.com</t>
  </si>
  <si>
    <t>Reyes, Kevin Jan</t>
  </si>
  <si>
    <t>kj.reyes@fujitsu.com</t>
  </si>
  <si>
    <t>Reyes, Jiro Fritz</t>
  </si>
  <si>
    <t>jf.reyes@fujitsu.com</t>
  </si>
  <si>
    <t>Reyes, Renz Aldrin</t>
  </si>
  <si>
    <t>renzaldrin.reyes@fujitsu.com</t>
  </si>
  <si>
    <t>Reyes, Rommel</t>
  </si>
  <si>
    <t>rommel.reyes@fujitsu.com</t>
  </si>
  <si>
    <t>Riparip, Jeffrey</t>
  </si>
  <si>
    <t>j.riparip@fujitsu.com</t>
  </si>
  <si>
    <t>Rivera, Michael John</t>
  </si>
  <si>
    <t>m.rivera@fujitsu.com</t>
  </si>
  <si>
    <t>Rivera, Ensign Joshua</t>
  </si>
  <si>
    <t>ej.rivera@fujitsu.com</t>
  </si>
  <si>
    <t>Rivera, Enn</t>
  </si>
  <si>
    <t>enn.rivera@fujitsu.com</t>
  </si>
  <si>
    <t>Rivero, Rudy Jr.</t>
  </si>
  <si>
    <t>r.rivero@fujitsu.com</t>
  </si>
  <si>
    <t>Rizada, Jufni</t>
  </si>
  <si>
    <t>j.rizada@fujitsu.com</t>
  </si>
  <si>
    <t>Robillo, Oliver Richard</t>
  </si>
  <si>
    <t>o.robillo@fujitsu.com</t>
  </si>
  <si>
    <t>Roble, Allen</t>
  </si>
  <si>
    <t>allen.roble@fujitsu.com</t>
  </si>
  <si>
    <t>Rocamora, Robin</t>
  </si>
  <si>
    <t>r.rocamora@fujitsu.com</t>
  </si>
  <si>
    <t>Rodil, Michael Carlo</t>
  </si>
  <si>
    <t>m.rodil@fujitsu.com</t>
  </si>
  <si>
    <t>Rodillas, Elaine</t>
  </si>
  <si>
    <t>e.rodillas@fujitsu.com</t>
  </si>
  <si>
    <t>Roldan, Jhoven</t>
  </si>
  <si>
    <t>j.roldan@fujitsu.com</t>
  </si>
  <si>
    <t>Rollan, Kenneth</t>
  </si>
  <si>
    <t>rollan.kenneth@fujitsu.com</t>
  </si>
  <si>
    <t>Romariz, Adam Eugene</t>
  </si>
  <si>
    <t>a.romariz@fujitsu.com</t>
  </si>
  <si>
    <t>Rondina, Cherry Ann</t>
  </si>
  <si>
    <t>c.rondina@fujitsu.com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</si>
  <si>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</si>
  <si>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</si>
  <si>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</si>
  <si>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</si>
  <si>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</si>
  <si>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</si>
  <si>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</si>
  <si>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</si>
  <si>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Rosell, Dharel</t>
  </si>
  <si>
    <t>d.rosell@fujitsu.com</t>
  </si>
  <si>
    <t>Rota, Daisy Anne</t>
  </si>
  <si>
    <t>da.rota@fujitsu.com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</si>
  <si>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</si>
  <si>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</si>
  <si>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</si>
  <si>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</si>
  <si>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</si>
  <si>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</si>
  <si>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Rufino, Jeffrey</t>
  </si>
  <si>
    <t>jc.rufino@fujitsu.com</t>
  </si>
  <si>
    <t>Ruiz, Dominic</t>
  </si>
  <si>
    <t>d.ruiz@fujitsu.com</t>
  </si>
  <si>
    <t>Rullan, Rommel Anthony</t>
  </si>
  <si>
    <t>r.rullan@fujitsu.com</t>
  </si>
  <si>
    <t>Rusiana, Benjamin</t>
  </si>
  <si>
    <t>b.rusiana@fujitsu.com</t>
  </si>
  <si>
    <t>Sabado, Baltazar Jr.</t>
  </si>
  <si>
    <t>b.sabado@fujitsu.com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</si>
  <si>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</si>
  <si>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</si>
  <si>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</si>
  <si>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</si>
  <si>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</si>
  <si>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</si>
  <si>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Nick</t>
  </si>
  <si>
    <t>nc.sabino@fujitsu.com</t>
  </si>
  <si>
    <t>Sacuan, James Earl</t>
  </si>
  <si>
    <t>je.sacuan@fujitsu.com</t>
  </si>
  <si>
    <t>Sagun, Nico Antonio</t>
  </si>
  <si>
    <t>n.sagun@fujitsu.com</t>
  </si>
  <si>
    <t>Sakuma, Maria Thea Eri</t>
  </si>
  <si>
    <t>m.sakuma@fujitsu.com</t>
  </si>
  <si>
    <t>Sala, Kent</t>
  </si>
  <si>
    <t>k.sala@fujitsu.com</t>
  </si>
  <si>
    <t>Salavia, Tom Jan</t>
  </si>
  <si>
    <t>t.salavia@fujitsu.com</t>
  </si>
  <si>
    <t>Saldana, Roberto Jr.</t>
  </si>
  <si>
    <t>r.saldana@fujitsu.com</t>
  </si>
  <si>
    <t>Salonga, Aldrin Ronnin</t>
  </si>
  <si>
    <t>aldrinronnin.salonga@fujitsu.com</t>
  </si>
  <si>
    <t>Salterio, Rommel</t>
  </si>
  <si>
    <t>r.salterio@fujitsu.com</t>
  </si>
  <si>
    <t>Salva, Jasver Anlouise</t>
  </si>
  <si>
    <t>j.salva@fujitsu.com</t>
  </si>
  <si>
    <t>Salvador, Mel Christian</t>
  </si>
  <si>
    <t>m.salvador@fujitsu.com</t>
  </si>
  <si>
    <t>Salvador, Rochelle</t>
  </si>
  <si>
    <t>ro.salvador@fujitsu.com</t>
  </si>
  <si>
    <t>Salvatierra, Jomari</t>
  </si>
  <si>
    <t>jomari.salvatierra@fujitsu.com</t>
  </si>
  <si>
    <t>Samson, Jerecho</t>
  </si>
  <si>
    <t>jt.samson@fujitsu.com</t>
  </si>
  <si>
    <t>Samson, Jeremiah James</t>
  </si>
  <si>
    <t>jj.samson@fujitsu.com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</si>
  <si>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</si>
  <si>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</si>
  <si>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</si>
  <si>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</si>
  <si>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</si>
  <si>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</si>
  <si>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Sanchez, Jester</t>
  </si>
  <si>
    <t>j.sanchez@fujitsu.com</t>
  </si>
  <si>
    <t>Sanchez, Nathaniel</t>
  </si>
  <si>
    <t>nj.sanchez@fujitsu.com</t>
  </si>
  <si>
    <t>Sanchez, Kenneth</t>
  </si>
  <si>
    <t>k.sanchez@fujitsu.com</t>
  </si>
  <si>
    <t>Sanchez, Andrilou</t>
  </si>
  <si>
    <t>an.sanchez@fujitsu.com</t>
  </si>
  <si>
    <t>Sandoy, James Lee</t>
  </si>
  <si>
    <t>j.sandoy@fujitsu.com</t>
  </si>
  <si>
    <t>Santarita, Vincent</t>
  </si>
  <si>
    <t>v.santarita@fujitsu.com</t>
  </si>
  <si>
    <t>Sante, John Patrick</t>
  </si>
  <si>
    <t>j.sante@fujitsu.com</t>
  </si>
  <si>
    <t>Sante, Paolo</t>
  </si>
  <si>
    <t>p.sante@fujitsu.com</t>
  </si>
  <si>
    <t>Santos, Jhenssen Jake</t>
  </si>
  <si>
    <t>jh.santos@fujitsu.com</t>
  </si>
  <si>
    <t>Santos, Hazel Ann</t>
  </si>
  <si>
    <t>h.santos@fujitsu.com</t>
  </si>
  <si>
    <t>Santos, John Michael</t>
  </si>
  <si>
    <t>johnmichael.santos@fujitsu.com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</si>
  <si>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</si>
  <si>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</si>
  <si>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</si>
  <si>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</si>
  <si>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</si>
  <si>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</si>
  <si>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Jan Joseph</t>
  </si>
  <si>
    <t>jj.sarmiento@fujitsu.com</t>
  </si>
  <si>
    <t>Sato, Hiroharu</t>
  </si>
  <si>
    <t>hi.sato@fujitsu.com</t>
  </si>
  <si>
    <t>Savella, Jaime Miguel</t>
  </si>
  <si>
    <t>jm.savella@fujitsu.com</t>
  </si>
  <si>
    <t>Sayaboc, Jonathan</t>
  </si>
  <si>
    <t>j.sayaboc@fujitsu.com</t>
  </si>
  <si>
    <t>Sayson, Narl Carlo</t>
  </si>
  <si>
    <t>nc.sayson@fujitsu.com</t>
  </si>
  <si>
    <t>Seares, Roselyn</t>
  </si>
  <si>
    <t>r.seares@fujitsu.com</t>
  </si>
  <si>
    <t>Seco-Mijares, Avegail</t>
  </si>
  <si>
    <t>a.seco@fujitsu.com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</si>
  <si>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</si>
  <si>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</si>
  <si>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</si>
  <si>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</si>
  <si>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</si>
  <si>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</si>
  <si>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Selor, Alain John</t>
  </si>
  <si>
    <t>a.selor@fujitsu.com</t>
  </si>
  <si>
    <t>Senamin, Alvi Cloeh</t>
  </si>
  <si>
    <t>a.senamin@fujitsu.com</t>
  </si>
  <si>
    <t>Seno, Ralph Kinney</t>
  </si>
  <si>
    <t>r.seno@fujitsu.com</t>
  </si>
  <si>
    <t>Señoran, John Eduardo</t>
  </si>
  <si>
    <t>j.senoran@fujitsu.com</t>
  </si>
  <si>
    <t>Sepe, Chancery</t>
  </si>
  <si>
    <t>chancery.sepe@fujitsu.com</t>
  </si>
  <si>
    <t>Septimo, Rowell</t>
  </si>
  <si>
    <t>ro.septimo@fujitsu.com</t>
  </si>
  <si>
    <t>Serino, Mary Anne</t>
  </si>
  <si>
    <t>m.serino@fujitsu.com</t>
  </si>
  <si>
    <t>Serion, Cyril Jeremy</t>
  </si>
  <si>
    <t>c.serion@fujitsu.com</t>
  </si>
  <si>
    <t>Serrano, Arman</t>
  </si>
  <si>
    <t>a.serrano_d@fujitsu.com</t>
  </si>
  <si>
    <t>Serrano, Rodolfo Gerardo Leon III</t>
  </si>
  <si>
    <t>rodolfo.serrano@fujitsu.com</t>
  </si>
  <si>
    <t>Serrano, Aigel Ann</t>
  </si>
  <si>
    <t>aa.serrano@fujitsu.com</t>
  </si>
  <si>
    <t>Severo, Louie Justine</t>
  </si>
  <si>
    <t>lj.severo@fujitsu.com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</si>
  <si>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</si>
  <si>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</si>
  <si>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</si>
  <si>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</si>
  <si>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</si>
  <si>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</si>
  <si>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</si>
  <si>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</si>
  <si>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Siba, Fretch Loraine</t>
  </si>
  <si>
    <t>f.siba@fujitsu.com</t>
  </si>
  <si>
    <t>Sibuma, Alyssa Jean</t>
  </si>
  <si>
    <t>aj.sibuma@fujitsu.com</t>
  </si>
  <si>
    <t>Sicad, Carl Kevin</t>
  </si>
  <si>
    <t>c.sicad@fujitsu.com</t>
  </si>
  <si>
    <t>Sikay, Angelo</t>
  </si>
  <si>
    <t>a.sikay@fujitsu.com</t>
  </si>
  <si>
    <t>Sinda, Chaniza Van</t>
  </si>
  <si>
    <t>c.sinda@fujitsu.com</t>
  </si>
  <si>
    <t>Sinining, Remus</t>
  </si>
  <si>
    <t>r.sinining@fujitsu.com</t>
  </si>
  <si>
    <t>Sinsin, Loi Niño</t>
  </si>
  <si>
    <t>l.sinsin@fujitsu.com</t>
  </si>
  <si>
    <t>Sison, Romeo III</t>
  </si>
  <si>
    <t>rs.sison@fujitsu.com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</si>
  <si>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</si>
  <si>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</si>
  <si>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</si>
  <si>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</si>
  <si>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</si>
  <si>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</si>
  <si>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</si>
  <si>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</si>
  <si>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Solera, Kenneth</t>
  </si>
  <si>
    <t>k.solera@fujitsu.com</t>
  </si>
  <si>
    <t>Soliman, Alecxis Neil</t>
  </si>
  <si>
    <t>an.soliman@fujitsu.com</t>
  </si>
  <si>
    <t>Soliveres, Jayvee</t>
  </si>
  <si>
    <t>jayvee.soliveres@fujitsu.com</t>
  </si>
  <si>
    <t>Sonza, Kenneth Isaac</t>
  </si>
  <si>
    <t>k.sonza@fujitsu.com</t>
  </si>
  <si>
    <t>Soriano, Erica</t>
  </si>
  <si>
    <t>e.soriano@fujitsu.com</t>
  </si>
  <si>
    <t>Sta. Ana, John Louie</t>
  </si>
  <si>
    <t>jl.staana@fujitsu.com</t>
  </si>
  <si>
    <t>Sta. Maria, Geomer</t>
  </si>
  <si>
    <t>g.stamaria@fujitsu.com</t>
  </si>
  <si>
    <t>Sta. Teresa, Kathleen Marguerite</t>
  </si>
  <si>
    <t>km.stateresa@fujitsu.com</t>
  </si>
  <si>
    <t>Suarez, Ralph Soulaiman</t>
  </si>
  <si>
    <t>r.suarez@fujitsu.com</t>
  </si>
  <si>
    <t>Suarez, Ma. Jobelle</t>
  </si>
  <si>
    <t>mj.suarez@fujitsu.com</t>
  </si>
  <si>
    <t>Subelario, Joseph Earl</t>
  </si>
  <si>
    <t>je.subelario@fujitsu.com</t>
  </si>
  <si>
    <t>Suerte, Dexter</t>
  </si>
  <si>
    <t>dexter.suerte@fujitsu.com</t>
  </si>
  <si>
    <t>Sugatan, Joshua Mark</t>
  </si>
  <si>
    <t>joshuamark.sugatan@fujitsu.com</t>
  </si>
  <si>
    <t>Suico, Jackylyn</t>
  </si>
  <si>
    <t>ja.suico@fujitsu.com</t>
  </si>
  <si>
    <t>Sumabong, Renz Andrew</t>
  </si>
  <si>
    <t>r.sumabong@fujitsu.com</t>
  </si>
  <si>
    <t>Suralta, Lijel</t>
  </si>
  <si>
    <t>l.suralta@fujitsu.com</t>
  </si>
  <si>
    <t>Susada, Romel</t>
  </si>
  <si>
    <t>r.susada@fujitsu.com</t>
  </si>
  <si>
    <t>Sy, Alexander</t>
  </si>
  <si>
    <t>ap.sy@fujitsu.com</t>
  </si>
  <si>
    <t>Tabalingcos, Robee</t>
  </si>
  <si>
    <t>r.tabalingco@fujitsu.com</t>
  </si>
  <si>
    <t>Tabanao, Bryan Philip</t>
  </si>
  <si>
    <t>b.tabanao@fujitsu.com</t>
  </si>
  <si>
    <t>Tabay, Adrian</t>
  </si>
  <si>
    <t>a.tabay@fujitsu.com</t>
  </si>
  <si>
    <t>Tablizo, Thea</t>
  </si>
  <si>
    <t>t.tablizo@fujitsu.com</t>
  </si>
  <si>
    <t>Taboada, Marc</t>
  </si>
  <si>
    <t>m.taboada@fujitsu.com</t>
  </si>
  <si>
    <t>Tabuada, Allan Paul</t>
  </si>
  <si>
    <t>allanpaul.tabuada@fujitsu.com</t>
  </si>
  <si>
    <t>Tada, Daisuke</t>
  </si>
  <si>
    <t>d.tada@fujitsu.com</t>
  </si>
  <si>
    <t>Tagongtong, Jasper</t>
  </si>
  <si>
    <t>j.tagongtong@fujitsu.com</t>
  </si>
  <si>
    <t>Tahata, Hiroshi</t>
  </si>
  <si>
    <t>h.tahata@fujitsu.com</t>
  </si>
  <si>
    <t>Tajantajan, Willenne Gayle</t>
  </si>
  <si>
    <t>w.tajantajan@fujitsu.com</t>
  </si>
  <si>
    <t>Taleño, Arthur Joseph</t>
  </si>
  <si>
    <t>a.taleno@fujitsu.com</t>
  </si>
  <si>
    <t>Tallo, Vernere</t>
  </si>
  <si>
    <t>v.tallo@fujitsu.com</t>
  </si>
  <si>
    <t>Tamayo-Vapor, Gerly</t>
  </si>
  <si>
    <t>g.tamayo@fujitsu.com</t>
  </si>
  <si>
    <t>Tamula, Shayne Lyle</t>
  </si>
  <si>
    <t>s.tamula@fujitsu.com</t>
  </si>
  <si>
    <t>Tan, Alexander</t>
  </si>
  <si>
    <t>ag.tan@fujitsu.com</t>
  </si>
  <si>
    <t>Tan, Jerlyn</t>
  </si>
  <si>
    <t>js.tan@fujitsu.com</t>
  </si>
  <si>
    <t>Tan, Vjohn</t>
  </si>
  <si>
    <t>vt.tan@fujitsu.com</t>
  </si>
  <si>
    <t>Tan, Edmund</t>
  </si>
  <si>
    <t>ed.tan@fujitsu.com</t>
  </si>
  <si>
    <t>Tan, Isiah Johnson</t>
  </si>
  <si>
    <t>isiahjohnson.tan@fujitsu.com</t>
  </si>
  <si>
    <t>Tan, Ted Steven</t>
  </si>
  <si>
    <t>tan.tedsteven@fujitsu.com</t>
  </si>
  <si>
    <t>Tañeca, Justine</t>
  </si>
  <si>
    <t>j.taneca@fujitsu.com</t>
  </si>
  <si>
    <t>Taneo, Jo-Ann</t>
  </si>
  <si>
    <t>j.taneo@fujitsu.com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</si>
  <si>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</si>
  <si>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</si>
  <si>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</si>
  <si>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</si>
  <si>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</si>
  <si>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</si>
  <si>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</si>
  <si>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</si>
  <si>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Tatang, Poul Steven</t>
  </si>
  <si>
    <t>p.tatang@fujitsu.com</t>
  </si>
  <si>
    <t>Tatel, Andy</t>
  </si>
  <si>
    <t>a.tatel@fujitsu.com</t>
  </si>
  <si>
    <t>Tayong, Denmark</t>
  </si>
  <si>
    <t>d.tayong@fujitsu.com</t>
  </si>
  <si>
    <t>Tec, Jerome Lorenzo</t>
  </si>
  <si>
    <t>jeromelorenzo.tec@fujitsu.com</t>
  </si>
  <si>
    <t>Tejada, Shobee Bray Lyresh</t>
  </si>
  <si>
    <t>s.tejada@fujitsu.com</t>
  </si>
  <si>
    <t>Tengco, Anthony Josel</t>
  </si>
  <si>
    <t>aj.tengco@fujitsu.com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</si>
  <si>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</si>
  <si>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</si>
  <si>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</si>
  <si>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</si>
  <si>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</si>
  <si>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</si>
  <si>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Teves, Luigi Kristian</t>
  </si>
  <si>
    <t>l.teves@fujitsu.com</t>
  </si>
  <si>
    <t>Teves, Monika</t>
  </si>
  <si>
    <t>monika.teves@fujitsu.com</t>
  </si>
  <si>
    <t>Tia, Ericjohn</t>
  </si>
  <si>
    <t>e.tia@fujitsu.com</t>
  </si>
  <si>
    <t>Timbal, Freitzebelle</t>
  </si>
  <si>
    <t>f.timbal@fujitsu.com</t>
  </si>
  <si>
    <t>Timonera, Christian Carl</t>
  </si>
  <si>
    <t>cc.timonera@fujitsu.com</t>
  </si>
  <si>
    <t>Tiongson, Adrian</t>
  </si>
  <si>
    <t>a.tiongson@fujitsu.com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</si>
  <si>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</si>
  <si>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</si>
  <si>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</si>
  <si>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</si>
  <si>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</si>
  <si>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</si>
  <si>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Toleco, Joeffrey</t>
  </si>
  <si>
    <t>j.toleco@fujitsu.com</t>
  </si>
  <si>
    <t>Tolentino, Jake Robby</t>
  </si>
  <si>
    <t>ja.tolentino@fujitsu.com</t>
  </si>
  <si>
    <t>Tolentino, John Rodmer</t>
  </si>
  <si>
    <t>johnrodmer.tolentino@fujitsu.com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</si>
  <si>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</si>
  <si>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</si>
  <si>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</si>
  <si>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</si>
  <si>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</si>
  <si>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</si>
  <si>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</si>
  <si>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</si>
  <si>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Torralba, Cristito Jose II</t>
  </si>
  <si>
    <t>cristitojose.torralba@fujitsu.com</t>
  </si>
  <si>
    <t>Torres, Norman Christopher</t>
  </si>
  <si>
    <t>normanchristopher.torres@fujitsu.com</t>
  </si>
  <si>
    <t>Torres, Jhon Lorwin</t>
  </si>
  <si>
    <t>jhonlorwin.torres@fujitsu.com</t>
  </si>
  <si>
    <t>Toyeng, Abraham</t>
  </si>
  <si>
    <t>a.toyeng@fujitsu.com</t>
  </si>
  <si>
    <t>Trajano, Ailyne</t>
  </si>
  <si>
    <t>ailyne.trajano@fujitsu.com</t>
  </si>
  <si>
    <t>Tuazon, Emma Jeann</t>
  </si>
  <si>
    <t>er.tuazon@fujitsu.com</t>
  </si>
  <si>
    <t>Tugade, Jose Mari</t>
  </si>
  <si>
    <t>jm.tugade@fujitsu.com</t>
  </si>
  <si>
    <t>Tumulak, Mark Justin</t>
  </si>
  <si>
    <t>m.tumulak@fujitsu.com</t>
  </si>
  <si>
    <t>Tumulak, Russel</t>
  </si>
  <si>
    <t>russel.tumulak@fujitsu.com</t>
  </si>
  <si>
    <t>Tura, Joseph Rupert</t>
  </si>
  <si>
    <t>j.tura@fujitsu.com</t>
  </si>
  <si>
    <t>Uehara, Yukihiro</t>
  </si>
  <si>
    <t>yu.uehara@fujitsu.com</t>
  </si>
  <si>
    <t>Unai, Hideki</t>
  </si>
  <si>
    <t>h.unai@fujitsu.com</t>
  </si>
  <si>
    <t>Uramoto, Rena</t>
  </si>
  <si>
    <t>r.uramoto@fujitsu.com</t>
  </si>
  <si>
    <t>Urrutia, Arjay</t>
  </si>
  <si>
    <t>arjay.urrutia@fujitsu.com</t>
  </si>
  <si>
    <t>Ursal, Roberto Jr.</t>
  </si>
  <si>
    <t>robertojr.ursal@fujitsu.com</t>
  </si>
  <si>
    <t>Uy, Daylon Glenn</t>
  </si>
  <si>
    <t>dg.uy@fujitsu.com</t>
  </si>
  <si>
    <t>Vallejo, Vernie Mae</t>
  </si>
  <si>
    <t>vm.vallejo@fujitsu.com</t>
  </si>
  <si>
    <t>Vasquez, Rodel</t>
  </si>
  <si>
    <t>r.vasquez@fujitsu.com</t>
  </si>
  <si>
    <t>Velasquez, Christian</t>
  </si>
  <si>
    <t>c.velasquez@fujitsu.com</t>
  </si>
  <si>
    <t>Velasquez, Clint</t>
  </si>
  <si>
    <t>cp.velasquez@fujitsu.com</t>
  </si>
  <si>
    <t>Velasquez, Roderick</t>
  </si>
  <si>
    <t>r.velasquez@fujitsu.com</t>
  </si>
  <si>
    <t>Velayo, Jayvin</t>
  </si>
  <si>
    <t>j.velayo@fujitsu.com</t>
  </si>
  <si>
    <t>Veloso, Naz Jordan</t>
  </si>
  <si>
    <t>nj.veloso@fujitsu.com</t>
  </si>
  <si>
    <t>Veracion, Reniel</t>
  </si>
  <si>
    <t>rc.veracion@fujitsu.com</t>
  </si>
  <si>
    <t>Veranga, Karlo</t>
  </si>
  <si>
    <t>k.veranga@fujitsu.com</t>
  </si>
  <si>
    <t>Vergara, Jeffrey</t>
  </si>
  <si>
    <t>j.vergara@fujitsu.com</t>
  </si>
  <si>
    <t>Vergara, Aaron Vincent</t>
  </si>
  <si>
    <t>av.vergara@fujitsu.com</t>
  </si>
  <si>
    <t>Vergara, Sharlene Mae</t>
  </si>
  <si>
    <t>sharlenemae.vergara@fujitsu.com</t>
  </si>
  <si>
    <t>Villa, Justin Roy</t>
  </si>
  <si>
    <t>jr.villa@fujitsu.com</t>
  </si>
  <si>
    <t>Villacanas, Hannie Kris</t>
  </si>
  <si>
    <t>h.villacanas@fujitsu.com</t>
  </si>
  <si>
    <t>Villacastin, Joepet</t>
  </si>
  <si>
    <t>j.villacasti@fujitsu.com</t>
  </si>
  <si>
    <t>Villaflor, Glenn Edward</t>
  </si>
  <si>
    <t>ge.villaflor@fujitsu.com</t>
  </si>
  <si>
    <t>Villafuerte, Gilbert Alonzo</t>
  </si>
  <si>
    <t>g.villafuert@fujitsu.com</t>
  </si>
  <si>
    <t>Villamor, Christine</t>
  </si>
  <si>
    <t>c.villamor@fujitsu.com</t>
  </si>
  <si>
    <t>Villamor, Jake</t>
  </si>
  <si>
    <t>jake.villamor@fujitsu.com</t>
  </si>
  <si>
    <t>Villanueva, Abigail Anne</t>
  </si>
  <si>
    <t>aa.villanueva@fujitsu.com</t>
  </si>
  <si>
    <t>Villanueva, Ronabelle Jeah</t>
  </si>
  <si>
    <t>ronabellejeah.villanueva@fujitsu.com</t>
  </si>
  <si>
    <t>Villarin, Adrian</t>
  </si>
  <si>
    <t>adrian.villarin@fujitsu.com</t>
  </si>
  <si>
    <t>Villarojo, Roderick</t>
  </si>
  <si>
    <t>r.villarojo@fujitsu.com</t>
  </si>
  <si>
    <t>Villaruel, Julius</t>
  </si>
  <si>
    <t>julius.villaruel@fujitsu.com</t>
  </si>
  <si>
    <t>Villasor, Princess Jonika</t>
  </si>
  <si>
    <t>p.villasor@fujitsu.com</t>
  </si>
  <si>
    <t>Villegas-Adviento, Maricar</t>
  </si>
  <si>
    <t>maricar.villegas-adviento@fujitsu.com</t>
  </si>
  <si>
    <t>Villena, Vincent</t>
  </si>
  <si>
    <t>v.villena@fujitsu.com</t>
  </si>
  <si>
    <t>Virtudazo, Aljohn Rey</t>
  </si>
  <si>
    <t>a.virtudazo@fujitsu.com</t>
  </si>
  <si>
    <t>Visitacion, Randolf</t>
  </si>
  <si>
    <t>r.visitacion@fujitsu.com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</si>
  <si>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</si>
  <si>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</si>
  <si>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</si>
  <si>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</si>
  <si>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</si>
  <si>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</si>
  <si>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</si>
  <si>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</si>
  <si>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Yabut, Kelly</t>
  </si>
  <si>
    <t>kelly.yabut@fujitsu.com</t>
  </si>
  <si>
    <t>Yamashita-Robin, Cyril Faith</t>
  </si>
  <si>
    <t>c.robin@fujitsu.com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</si>
  <si>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</si>
  <si>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</si>
  <si>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</si>
  <si>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</si>
  <si>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</si>
  <si>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</si>
  <si>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Yaun, Richard</t>
  </si>
  <si>
    <t>r.yaun@fujitsu.com</t>
  </si>
  <si>
    <t>Yecla, Francis</t>
  </si>
  <si>
    <t>francis.yecla@fujitsu.com</t>
  </si>
  <si>
    <t>Yu, Jhaisy Jade</t>
  </si>
  <si>
    <t>j.yu@fujitsu.com</t>
  </si>
  <si>
    <t>Yupo, Dexter</t>
  </si>
  <si>
    <t>d.yupo@fujitsu.com</t>
  </si>
  <si>
    <t>Yuson, Jackie Lou</t>
  </si>
  <si>
    <t>yuson.jackielou@fujitsu.com</t>
  </si>
  <si>
    <t>Zamora, Jeric</t>
  </si>
  <si>
    <t>j.zamora@fujitsu.com</t>
  </si>
  <si>
    <t>Zamora, Christen Paul</t>
  </si>
  <si>
    <t>c.zamora@fujitsu.com</t>
  </si>
  <si>
    <t>Zamora, Christian Joseph</t>
  </si>
  <si>
    <t>cj.zamora@fujitsu.com</t>
  </si>
  <si>
    <t>Zapata, Jerome Zoe</t>
  </si>
  <si>
    <t>jz.zapata@fujitsu.com</t>
  </si>
  <si>
    <t>Zarzoa, John Reggie</t>
  </si>
  <si>
    <t>zarzoa.johnreggie@fujitsu.com</t>
  </si>
  <si>
    <t>Buot, Martin Brundle</t>
  </si>
  <si>
    <t>martinbrundle.buot@fujitsu.com</t>
  </si>
  <si>
    <t>Cabello, Joel</t>
  </si>
  <si>
    <t>joel.cabello@fujitsu.com</t>
  </si>
  <si>
    <t>Riveral, Dodge Lester</t>
  </si>
  <si>
    <t>dodgelester.riveral@fujitsu.com</t>
  </si>
  <si>
    <t>Senosin, Gino</t>
  </si>
  <si>
    <t>gino.senosin@fujitsu.com</t>
  </si>
  <si>
    <t>Alcover, Jasper Clint</t>
  </si>
  <si>
    <t>jasperclint.alcover@fujitsu.com</t>
  </si>
  <si>
    <t>Ali, Zainodine</t>
  </si>
  <si>
    <t>zainodine.ali@fujitsu.com</t>
  </si>
  <si>
    <t>Amodia, Irvin</t>
  </si>
  <si>
    <t>irvin.amodia@fujitsu.com</t>
  </si>
  <si>
    <t>Anacleto, Justine Brett</t>
  </si>
  <si>
    <t>justinebrett.anacleto@fujitsu.com</t>
  </si>
  <si>
    <t>Delos Santos, John Edward</t>
  </si>
  <si>
    <t>johnedward.delossantos@fujitsu.com</t>
  </si>
  <si>
    <t>Opendo, John Paul</t>
  </si>
  <si>
    <t>johnpaul.opendo@fujitsu.com</t>
  </si>
  <si>
    <t>Pelaez, Rhea</t>
  </si>
  <si>
    <t>rhea.pelaez@fujitsu.com</t>
  </si>
  <si>
    <t>Brito, Jayson</t>
  </si>
  <si>
    <t>brito.jayson@fujitsu.com</t>
  </si>
  <si>
    <t>Cuarteron, Ken</t>
  </si>
  <si>
    <t>ken.cuarteron@fujitsu.com</t>
  </si>
  <si>
    <t>Eliseo, Marichelle Anne</t>
  </si>
  <si>
    <t>marichelleanne.eliseo@fujitsu.com</t>
  </si>
  <si>
    <t>Estrella, Chris Jordan</t>
  </si>
  <si>
    <t>chrisjordan.estrella@fujitsu.com</t>
  </si>
  <si>
    <t>Navea, Isidro Jr.</t>
  </si>
  <si>
    <t>isidrojr.navea@fujitsu.com</t>
  </si>
  <si>
    <t>Estrope, Jorja Mae</t>
  </si>
  <si>
    <t>jm.estrope@fujitsu.com</t>
  </si>
  <si>
    <t>Jagonoy, Mark Jason</t>
  </si>
  <si>
    <t>markjason.jagonoy@fujitsu.com</t>
  </si>
  <si>
    <t>Ahmad, Princess</t>
  </si>
  <si>
    <t>princess.ahmad@fujitsu.com</t>
  </si>
  <si>
    <t>Bucog, Alanis</t>
  </si>
  <si>
    <t>alanis.bucog@fujitsu.com</t>
  </si>
  <si>
    <t>Lopez, Christel Evance</t>
  </si>
  <si>
    <t>christelevance.lopez@fujitsu.com</t>
  </si>
  <si>
    <t>Reforsado, Floriza</t>
  </si>
  <si>
    <t>floriza.reforsado@fujitsu.com</t>
  </si>
  <si>
    <t>Compra, Edwin</t>
  </si>
  <si>
    <t>edwin.compra@fujitsu.com</t>
  </si>
  <si>
    <t>Ortalla, Joselle</t>
  </si>
  <si>
    <t>joselle.ortalla@fujitsu.com</t>
  </si>
  <si>
    <t>Acain, Frances Jhay</t>
  </si>
  <si>
    <t>francesjhay.acain@fujitsu.com</t>
  </si>
  <si>
    <t>Aquino, Ardone Estelle</t>
  </si>
  <si>
    <t>ardoneestelle.aquino@fujitsu.com</t>
  </si>
  <si>
    <t>Rodel, Mark Odyssey</t>
  </si>
  <si>
    <t>markodyssey.rodel@fujitsu.com</t>
  </si>
  <si>
    <t>Tolentino, King Christian</t>
  </si>
  <si>
    <t>kingchristian.tolentino@fujitsu.com</t>
  </si>
  <si>
    <t>Evangelista, Elmer</t>
  </si>
  <si>
    <t>elmer.evangelista@fujitsu.com</t>
  </si>
  <si>
    <t>Eldian, Leila</t>
  </si>
  <si>
    <t>leila.eldian@fujitsu.com</t>
  </si>
  <si>
    <t>Ejorcadas, Adriane</t>
  </si>
  <si>
    <t>adriane.ejorcadas@fujitsu.com</t>
  </si>
  <si>
    <t>Makiling, Jayson Rey</t>
  </si>
  <si>
    <t>jaysonrey.makiling@fujitsu.com</t>
  </si>
  <si>
    <t>Pangan, Rayner</t>
  </si>
  <si>
    <t>rayner.pangan@fujitsu.com</t>
  </si>
  <si>
    <t>Alcantara, John Kevin</t>
  </si>
  <si>
    <t>johnkevin.alcantara@fujitsu.com</t>
  </si>
  <si>
    <t>Alcain, Ynfane Shairene</t>
  </si>
  <si>
    <t>ynfaneshairene.alcain@fujitsu.com</t>
  </si>
  <si>
    <t>Bertulfo, Aiane Chino</t>
  </si>
  <si>
    <t>aianechino.bertulfo@fujitsu.com</t>
  </si>
  <si>
    <t>Abalos, Michael Joshua</t>
  </si>
  <si>
    <t>michaeljoshua.abalos@fujitsu.com</t>
  </si>
  <si>
    <t>Mayola, Khen</t>
  </si>
  <si>
    <t>mayola.khen@fujitsu.com</t>
  </si>
  <si>
    <t>Papas, Arenz Joshua</t>
  </si>
  <si>
    <t>papas.arenzjoshua@fujitsu.com</t>
  </si>
  <si>
    <t>Sebastian, Prince</t>
  </si>
  <si>
    <t>prince.sebastian@fujitsu.com</t>
  </si>
  <si>
    <t>Oseo, Mark Rhayan</t>
  </si>
  <si>
    <t>markrhayan.oseo@fujitsu.com</t>
  </si>
  <si>
    <t>Salva Cruz, Kinsley</t>
  </si>
  <si>
    <t>kinsley.salvacruz@fujitsu.com</t>
  </si>
  <si>
    <t>Andag, Robertson</t>
  </si>
  <si>
    <t>robertson.andag@fujitsu.com</t>
  </si>
  <si>
    <t>Castillo, Kenzo</t>
  </si>
  <si>
    <t>castillo.kenzo@fujitsu.com</t>
  </si>
  <si>
    <t>Torrible, Leonardo III</t>
  </si>
  <si>
    <t>leonardoiii.torrible@fujitsu.com</t>
  </si>
  <si>
    <t>Natad, Jennilyn</t>
  </si>
  <si>
    <t>jennilyn.natad@fujitsu.com</t>
  </si>
  <si>
    <t>Rosales, Maria Alyssa</t>
  </si>
  <si>
    <t>mariaalyssa.rosales@fujitsu.com</t>
  </si>
  <si>
    <t>Nacis, Edgar</t>
  </si>
  <si>
    <t>edgar.nacis@fujitsu.com</t>
  </si>
  <si>
    <t>Juarez, Aronjohn Paulo</t>
  </si>
  <si>
    <t>aronjohnpaulo.juarez@fujitsu.com</t>
  </si>
  <si>
    <t>Bacor, Ivan Eric</t>
  </si>
  <si>
    <t>ivaneric.bacor@fujitsu.com</t>
  </si>
  <si>
    <t>Johanson, Joshua Harry</t>
  </si>
  <si>
    <t>joshuaharry.johanson@fujitsu.com</t>
  </si>
  <si>
    <t>Turla, John Leo</t>
  </si>
  <si>
    <t>johnleo.turla@fujitsu.com</t>
  </si>
  <si>
    <t>Ramos, Francisco</t>
  </si>
  <si>
    <t>ramos.francisco@fujitsu.com</t>
  </si>
  <si>
    <t>Tirao, Jumabelle</t>
  </si>
  <si>
    <t>jumabelle.tirao@fujitsu.com</t>
  </si>
  <si>
    <t>Elloso, Miguel Reinhard</t>
  </si>
  <si>
    <t>miguelreinhard.elloso@fujitsu.com</t>
  </si>
  <si>
    <t>Dometita, Ariane</t>
  </si>
  <si>
    <t>ariane.dometita@fujitsu.com</t>
  </si>
  <si>
    <t>Yuson, Patrick</t>
  </si>
  <si>
    <t>patrick.yuson@fujitsu.com</t>
  </si>
  <si>
    <t>Cruz, King Denver</t>
  </si>
  <si>
    <t>kingdenver.cruz@fujitsu.com</t>
  </si>
  <si>
    <t>Rosales, Gilbert</t>
  </si>
  <si>
    <t>gilbert.rosales@fujitsu.com</t>
  </si>
  <si>
    <t>Guico, Princess</t>
  </si>
  <si>
    <t>princess.guico@fujitsu.com</t>
  </si>
  <si>
    <t>Panopio, Joyce</t>
  </si>
  <si>
    <t>joyce.panopio@fujitsu.com</t>
  </si>
  <si>
    <t>Maraggay, Jasper</t>
  </si>
  <si>
    <t>jasper.maraggay@fujitsu.com</t>
  </si>
  <si>
    <t>Benito, Almer John</t>
  </si>
  <si>
    <t>Almer.Benito@fujitsu.com</t>
  </si>
  <si>
    <t>Perez, Jhellie</t>
  </si>
  <si>
    <t>Jhellie.Perez@fujitsu.com</t>
  </si>
  <si>
    <t>Tambagan, Romyr Kenneth</t>
  </si>
  <si>
    <t>Romyr.Tambagan@fujitsu.com</t>
  </si>
  <si>
    <t>Murakami, Naotoshi</t>
  </si>
  <si>
    <t>Naotoshi.Murakami@fujitsu.com</t>
  </si>
  <si>
    <t>Amansec, Justine</t>
  </si>
  <si>
    <t>justine.amansec@fujitsu.com</t>
  </si>
  <si>
    <t>Esponilla, Norman Daryl</t>
  </si>
  <si>
    <t>normandaryl.esponilla@fujitsu.com</t>
  </si>
  <si>
    <t>Lazaro, Egee Louise</t>
  </si>
  <si>
    <t>egeelouise.lazaro@fujitsu.com</t>
  </si>
  <si>
    <t>Rubico, Adrian</t>
  </si>
  <si>
    <t>adrian.rubico@fujitsu.com</t>
  </si>
  <si>
    <t>Bersabal, Ace John</t>
  </si>
  <si>
    <t>acejohn.bersabal@fujitsu.com</t>
  </si>
  <si>
    <t>Publico, Jhonathan Seth</t>
  </si>
  <si>
    <t>jhonathanseth.publico@fujitsu.com</t>
  </si>
  <si>
    <t>Salazar, Patrick Gabriel</t>
  </si>
  <si>
    <t>patrickgabriel.salazar@fujitsu.com</t>
  </si>
  <si>
    <t>Rodas, Francis Steve</t>
  </si>
  <si>
    <t>francissteve.rodas@fujitsu.com</t>
  </si>
  <si>
    <t>Bagares, Norbie</t>
  </si>
  <si>
    <t>bagares.norbie@fujitsu.com</t>
  </si>
  <si>
    <t>Acosta, Xena</t>
  </si>
  <si>
    <t>xena.acosta@fujitsu.com</t>
  </si>
  <si>
    <t>Leñada, Jolene</t>
  </si>
  <si>
    <t>jolene.lenada@fujitsu.com</t>
  </si>
  <si>
    <t>Salting, Jomari</t>
  </si>
  <si>
    <t>jomari.salting@fujitsu.com</t>
  </si>
  <si>
    <t>Olimpos, Janet</t>
  </si>
  <si>
    <t>janet.olimpos@fujitsu.com</t>
  </si>
  <si>
    <t>Cabal, Sigfred Howard</t>
  </si>
  <si>
    <t>sigfredhoward.cabal@fujitsu.com</t>
  </si>
  <si>
    <t>Diola, Jasper Kim</t>
  </si>
  <si>
    <t>diola.jasperkim@fujitsu.com</t>
  </si>
  <si>
    <t>Rakim, Jasmine</t>
  </si>
  <si>
    <t>jasmine.rakim@fujitsu.com</t>
  </si>
  <si>
    <t>Guillena, Daniel</t>
  </si>
  <si>
    <t>daniel.guillen@fujitsu.com</t>
  </si>
  <si>
    <t>Cortez, Jeric</t>
  </si>
  <si>
    <t>Jerick.Cortez@fujitsu.com</t>
  </si>
  <si>
    <t>Castañeda, Jerome</t>
  </si>
  <si>
    <t>jerome.castaneda@fujitsu.com</t>
  </si>
  <si>
    <t>Gonzales, Ma. Alice</t>
  </si>
  <si>
    <t>maalice.gonzales@fujitsu.com</t>
  </si>
  <si>
    <t>Camonias, Nickole</t>
  </si>
  <si>
    <t>nickole.camonias@fujitsu.com</t>
  </si>
  <si>
    <t>Torres, Myla</t>
  </si>
  <si>
    <t>torres.myla@fujitsu.com</t>
  </si>
  <si>
    <t>Catalan, Joemer Jr.</t>
  </si>
  <si>
    <t>joemerjr.catalan@fujitsu.com</t>
  </si>
  <si>
    <t>Daniel, Grace</t>
  </si>
  <si>
    <t>daniel.grace@fujitsu.com</t>
  </si>
  <si>
    <t>Abejo, Solomon</t>
  </si>
  <si>
    <t>solomon.abejo@fujitsu.com</t>
  </si>
  <si>
    <t>Ambay, Imma Marie Concepcion</t>
  </si>
  <si>
    <t>imconcepcion.ambay@fujitsu.com</t>
  </si>
  <si>
    <t>Profugo, Trister Bryan</t>
  </si>
  <si>
    <t>tristerbryan.profugo@fujitsu.com</t>
  </si>
  <si>
    <t>Cruz, Anne Patrice</t>
  </si>
  <si>
    <t>annepatricecruz@fujitsu.com</t>
  </si>
  <si>
    <t>Gayona, Aries Christian</t>
  </si>
  <si>
    <t>arieschristian.gayona@fujitsu.com</t>
  </si>
  <si>
    <t>Ore, Venus</t>
  </si>
  <si>
    <t>venus.ore@fujitsu.com</t>
  </si>
  <si>
    <t>Chua, Manuel Adams</t>
  </si>
  <si>
    <t>manueladams.chua@fujitsu.com</t>
  </si>
  <si>
    <t>Terencio, Vicente Jr.</t>
  </si>
  <si>
    <t>vicente.terencio@fujitsu.com</t>
  </si>
  <si>
    <t>Navarro, Jio</t>
  </si>
  <si>
    <t>jio.navarro@fujitsu.com</t>
  </si>
  <si>
    <t>Rosanto, Milchizedek</t>
  </si>
  <si>
    <t>rosanto.milchizedek@fujitsu.com</t>
  </si>
  <si>
    <t>Ocampo, Gio</t>
  </si>
  <si>
    <t>gio.ocampo@fujitsu.com</t>
  </si>
  <si>
    <t>David, Jim Rhose</t>
  </si>
  <si>
    <t>jimrhose.david@fujitsu.com</t>
  </si>
  <si>
    <t>Tubaying, Marvin Luster</t>
  </si>
  <si>
    <t>tubaying.marvinluster@fujitsu.com</t>
  </si>
  <si>
    <t>Gamana, Archie</t>
  </si>
  <si>
    <t>archie.gamana@fujitsu.com</t>
  </si>
  <si>
    <t>Rin, Ricardo</t>
  </si>
  <si>
    <t>ricardo.rin@fujitsu.com</t>
  </si>
  <si>
    <t>Agne, Rocky Jensen</t>
  </si>
  <si>
    <t>rockyjensen.agne@fujitsu.com</t>
  </si>
  <si>
    <t>Balbin, Joshua</t>
  </si>
  <si>
    <t>joshua.balbin@fujitsu.com</t>
  </si>
  <si>
    <t>Selim, Angelica</t>
  </si>
  <si>
    <t>angelica.selim@fujitsu.com</t>
  </si>
  <si>
    <t>De Jesus, Ma. Joanna</t>
  </si>
  <si>
    <t>majoanna.dejesus@fujitsu.com</t>
  </si>
  <si>
    <t>Derecho, Jon Michael</t>
  </si>
  <si>
    <t>jonmichael.derecho@fujitsu.com</t>
  </si>
  <si>
    <t>Redondiez, Adham Lyele</t>
  </si>
  <si>
    <t>adhamlyele.redondiez@fujitsu.com</t>
  </si>
  <si>
    <t>Yu, Jeffrey</t>
  </si>
  <si>
    <t>jeffrey.yu@fujitsu.com</t>
  </si>
  <si>
    <t>Oplado, Victorie Maia</t>
  </si>
  <si>
    <t>victoriemaia.oplado@fujitsu.com</t>
  </si>
  <si>
    <t>Baysa, Allan Robert</t>
  </si>
  <si>
    <t>allanrobert.baysa@fujitsu.com</t>
  </si>
  <si>
    <t>Garcia, Paul Henrick</t>
  </si>
  <si>
    <t>paulhenrick.garcia@fujitsu.com</t>
  </si>
  <si>
    <t>Mendoza, Joseph Erwin</t>
  </si>
  <si>
    <t>josepherwin.mendoza@fujitsu.com</t>
  </si>
  <si>
    <t>Isidro, Brussel Jhudiel</t>
  </si>
  <si>
    <t>brusseljhudiel.isidro@fujitsu.com</t>
  </si>
  <si>
    <t>Nadonza, Ronaldo Jr.</t>
  </si>
  <si>
    <t>ronaldojr.nadonza@fujitsu.com</t>
  </si>
  <si>
    <t>Mafe, John Errey</t>
  </si>
  <si>
    <t>johnerrey.mafe@fujitsu.com</t>
  </si>
  <si>
    <t>Gualberto, Dianne Marie</t>
  </si>
  <si>
    <t>diannemarie.gualberto@fujitsu.com</t>
  </si>
  <si>
    <t>Bonifacio, Bonjour</t>
  </si>
  <si>
    <t>bonjour.bonifacio@fujitsu.com</t>
  </si>
  <si>
    <t>Baltazar, Levi Aaron</t>
  </si>
  <si>
    <t>leviaaron.baltazar@fujitsu.com</t>
  </si>
  <si>
    <t>Requelman, Brendren</t>
  </si>
  <si>
    <t>brendren.requelman@fujitsu.com</t>
  </si>
  <si>
    <t>Flores, Sergio</t>
  </si>
  <si>
    <t>sergio.flores@fujitsu.com</t>
  </si>
  <si>
    <t>Cabico, Daryll</t>
  </si>
  <si>
    <t>daryll.cabico@fujitsu.com</t>
  </si>
  <si>
    <t>Bernales, Jerico</t>
  </si>
  <si>
    <t>jerico.bernales@fujitsu.com</t>
  </si>
  <si>
    <t>Pacaldo, Delfin</t>
  </si>
  <si>
    <t>delfin.pacaldo@fujitsu.com</t>
  </si>
  <si>
    <t>Moring, Renz William</t>
  </si>
  <si>
    <t>renzwilliam.moring@fujitsu.com</t>
  </si>
  <si>
    <t>Guan, Rommuel Bon Edmon</t>
  </si>
  <si>
    <t>rommuel.guan@fujitsu.com</t>
  </si>
  <si>
    <t>Idong, Redanel</t>
  </si>
  <si>
    <t>redanel.idong@fujitsu.com</t>
  </si>
  <si>
    <t>Galang, John Anthony</t>
  </si>
  <si>
    <t>johnanthony.galang@fujitsu.com</t>
  </si>
  <si>
    <t>Ramos, Karl Louis</t>
  </si>
  <si>
    <t>karllouis.ramos@fujitsu.com</t>
  </si>
  <si>
    <t>Pesidas, Arjay</t>
  </si>
  <si>
    <t>arjay.pesidas@fujitsu.com</t>
  </si>
  <si>
    <t>Bolante, Russel</t>
  </si>
  <si>
    <t>russel.bolante@fujitsu.com</t>
  </si>
  <si>
    <t>Perez, Eric Jay</t>
  </si>
  <si>
    <t>ericjay.perez@fujitsu.com</t>
  </si>
  <si>
    <t>Barceñas, Cindy</t>
  </si>
  <si>
    <t>cindy.barcenas@fujitsu.com</t>
  </si>
  <si>
    <t>Talon, Reymond</t>
  </si>
  <si>
    <t>reymond.talon@fujitsu.com</t>
  </si>
  <si>
    <t>Cepe, Paul</t>
  </si>
  <si>
    <t>paul.cepe@fujitsu.com</t>
  </si>
  <si>
    <t>Sarabusab, Chris Anne</t>
  </si>
  <si>
    <t>chrisanne.sarabusab@fujitsu.com</t>
  </si>
  <si>
    <t>Tobias, Justine Junel</t>
  </si>
  <si>
    <t>justine.tobias@fujitsu.com</t>
  </si>
  <si>
    <t>Garon, Adrian Caleb</t>
  </si>
  <si>
    <t>garon.adriancaleb@fujitsu.com</t>
  </si>
  <si>
    <t>De Guzman, Aries</t>
  </si>
  <si>
    <t>deguzman.aries@fujitsu.com</t>
  </si>
  <si>
    <t>Herrera, Angelo</t>
  </si>
  <si>
    <t>angelo.herrera@fujitsu.com</t>
  </si>
  <si>
    <t>Lanon, Mary Kathryn</t>
  </si>
  <si>
    <t>marykathryn.lanon@fujitsu.com</t>
  </si>
  <si>
    <t>Tahil, Jeneath</t>
  </si>
  <si>
    <t>jeneath.tahil@fujitsu.com</t>
  </si>
  <si>
    <t>Suarez, Melquisedec</t>
  </si>
  <si>
    <t>melquisedec.suarez@fujitsu.com</t>
  </si>
  <si>
    <t>Galiza, Brian Victor</t>
  </si>
  <si>
    <t>brianvictor.galiza@fujitsu.com</t>
  </si>
  <si>
    <t>Capuz, Patrick</t>
  </si>
  <si>
    <t>patrick.capuz@fujitsu.com</t>
  </si>
  <si>
    <t>Ngo, Geoffrey</t>
  </si>
  <si>
    <t>geoffrey.ngo@fujitsu.com</t>
  </si>
  <si>
    <t>Quinto, Mark Steven</t>
  </si>
  <si>
    <t>marksteven.quinto@fujitsu.com</t>
  </si>
  <si>
    <t>Lumentigar, Michael Angelo</t>
  </si>
  <si>
    <t>michaelangelo.lumentigar@fujitsu.com</t>
  </si>
  <si>
    <t>Arreza, Jerrell Jay</t>
  </si>
  <si>
    <t>jerrelljay.arreza@fujitsu.com</t>
  </si>
  <si>
    <t>Ballesteros, Nicolo</t>
  </si>
  <si>
    <t>nicolo.ballesteros@fujitsu.com</t>
  </si>
  <si>
    <t>Tubal, Mark Jason</t>
  </si>
  <si>
    <t>tubal.markjason@fujitsu.com</t>
  </si>
  <si>
    <t>Carranza, Emmanuel</t>
  </si>
  <si>
    <t>emmanuel.carranza@fujitsu.com</t>
  </si>
  <si>
    <t>Laureano, Christian</t>
  </si>
  <si>
    <t>christian.laureano@fujitsu.com</t>
  </si>
  <si>
    <t>Bancog, Arvin</t>
  </si>
  <si>
    <t>arvin.bancog@fujitsu.com</t>
  </si>
  <si>
    <t>Agustin, Jmie Christian</t>
  </si>
  <si>
    <t>jmiechristian.agustin@fujitsu.com</t>
  </si>
  <si>
    <t>Quelinguen, Edmark</t>
  </si>
  <si>
    <t>edmark.quelinguen@fujitsu.com</t>
  </si>
  <si>
    <t>Bondoc, Jabez Joshua</t>
  </si>
  <si>
    <t>jabezjoshua.bondoc@fujitsu.com</t>
  </si>
  <si>
    <t>Tolentino, Mark Ariel</t>
  </si>
  <si>
    <t>markariel.tolentino@fujitsu.com</t>
  </si>
  <si>
    <t>Belga, David-John</t>
  </si>
  <si>
    <t>davidjohn.belga@fujitsu.com</t>
  </si>
  <si>
    <t>Estrera, Jeffrey</t>
  </si>
  <si>
    <t>jeffrey.estrera@fujitsu.com</t>
  </si>
  <si>
    <t>Elizaga, Cicero Jr.</t>
  </si>
  <si>
    <t>cicerojr.elizaga@fujitsu.com</t>
  </si>
  <si>
    <t>Tabas, Aldrin Karl</t>
  </si>
  <si>
    <t>aldrinkarl.tabas@fujitsu.com</t>
  </si>
  <si>
    <t>Cortes, Jefriel</t>
  </si>
  <si>
    <t>jefriel.cortes@fujitsu.com</t>
  </si>
  <si>
    <t>Valencia, Rhavee</t>
  </si>
  <si>
    <t>rhavee.valencia@fujitsu.com</t>
  </si>
  <si>
    <t>Abitona, Angelo</t>
  </si>
  <si>
    <t>angelo.abitona@fujitsu.com</t>
  </si>
  <si>
    <t>Deri, Kerren Joyce</t>
  </si>
  <si>
    <t>kerrenjoyce.deri@fujitsu.com</t>
  </si>
  <si>
    <t>Serrano, Teddy</t>
  </si>
  <si>
    <t>teddy.serrano@fujitsu.com</t>
  </si>
  <si>
    <t>Verzosa, Alexander</t>
  </si>
  <si>
    <t>alexander.verzosa@fujitsu.com</t>
  </si>
  <si>
    <t>Tapia, John Henry</t>
  </si>
  <si>
    <t>johnhenry.tapia@fujitsu.com</t>
  </si>
  <si>
    <t>Cabanero, Marylyn</t>
  </si>
  <si>
    <t>marylyn.cabanero@fujitsu.com</t>
  </si>
  <si>
    <t>Malasig, Mark Joseph</t>
  </si>
  <si>
    <t>markjoseph.malasig@fujitsu.com</t>
  </si>
  <si>
    <t>Tabag, Trishia Marie</t>
  </si>
  <si>
    <t>tabag.trishiamarie@fujitsu.com</t>
  </si>
  <si>
    <t>Sena, Jan Michael</t>
  </si>
  <si>
    <t>sena.janmichael@fujitsu.com</t>
  </si>
  <si>
    <t>Conanan, Thessa Lou</t>
  </si>
  <si>
    <t>conanan.thessalou@fujitsu.com</t>
  </si>
  <si>
    <t>Rivera, Arc Frederick</t>
  </si>
  <si>
    <t>arcfrederick.rivera@fujitsu.com</t>
  </si>
  <si>
    <t>Sagudaquil, Monabelle</t>
  </si>
  <si>
    <t>monabelle.sagudaquil@fujitsu.com</t>
  </si>
  <si>
    <t>Jonson, Beverly</t>
  </si>
  <si>
    <t>beverly.jonson@fujitsu.com</t>
  </si>
  <si>
    <t>Guades, John Mark</t>
  </si>
  <si>
    <t>johnmark.guades@fujitsu.com</t>
  </si>
  <si>
    <t>Bustillo, John Denver</t>
  </si>
  <si>
    <t>johndenver.bustillo@fujitsu.com</t>
  </si>
  <si>
    <t>Cortez, Shaun Chester</t>
  </si>
  <si>
    <t>shaunchester.cortez@fujitsu.com</t>
  </si>
  <si>
    <t>Vergara, Robert John</t>
  </si>
  <si>
    <t>robertjohn.vergara@fujitsu.com</t>
  </si>
  <si>
    <t>Infante, Brandon</t>
  </si>
  <si>
    <t>brandon.infante@fujitsu.com</t>
  </si>
  <si>
    <t>Carreon, Ralph Vincent</t>
  </si>
  <si>
    <t>ralphvincent.carreon@fujitsu.com</t>
  </si>
  <si>
    <t>Bardiago, Jerry Rold</t>
  </si>
  <si>
    <t>jerryrold.bardiago@fujitsu.com</t>
  </si>
  <si>
    <t>Honra, Glenda</t>
  </si>
  <si>
    <t>glenda.honra@fujitsu.com</t>
  </si>
  <si>
    <t>Diegor, John Rick</t>
  </si>
  <si>
    <t>johnrick.diegor@fujitsu.com</t>
  </si>
  <si>
    <t>Gallardo, Harjie</t>
  </si>
  <si>
    <t>harjie.gallardo@fujitsu.com</t>
  </si>
  <si>
    <t>Corpuz, Neil John</t>
  </si>
  <si>
    <t>neiljohn.corpuz@fujitsu.com</t>
  </si>
  <si>
    <t>Ardenio, Ruth</t>
  </si>
  <si>
    <t>ruth.ardenio@fujitsu.com</t>
  </si>
  <si>
    <t>Samonte, Jerald Kristian</t>
  </si>
  <si>
    <t>jeraldkristian.samonte@fujitsu.com</t>
  </si>
  <si>
    <t>Cortez, Jaycee</t>
  </si>
  <si>
    <t>jaycee.cortez@fujitsu.com</t>
  </si>
  <si>
    <t>Bonayon, Christian</t>
  </si>
  <si>
    <t>christian.bonayon@fujitsu.com</t>
  </si>
  <si>
    <t>Maming, Mark Paul</t>
  </si>
  <si>
    <t>markpaul.maming@fujitsu.com</t>
  </si>
  <si>
    <t>Sunio, Ma. Mercedes</t>
  </si>
  <si>
    <t>mamercedes.sunio@fujitsu.com</t>
  </si>
  <si>
    <t>Malimban, Mark Lourence</t>
  </si>
  <si>
    <t>marklourence.malimban@fujitsu.com</t>
  </si>
  <si>
    <t>Zamora, Lawrence Earl</t>
  </si>
  <si>
    <t>lawrenceearl.zamora@fujitsu.com</t>
  </si>
  <si>
    <t>Abadines, Mark Cedrick</t>
  </si>
  <si>
    <t>markcedrick.abadines@fujitsu.com</t>
  </si>
  <si>
    <t>Dealagdon, Rose Ann</t>
  </si>
  <si>
    <t>roseann.dealagdon@fujitsu.com</t>
  </si>
  <si>
    <t>EREÑO, Rigel</t>
  </si>
  <si>
    <t>rigel.ereno@fujitsu.com</t>
  </si>
  <si>
    <t>Resurreccion, Neil</t>
  </si>
  <si>
    <t>neil.resurreccion@fujitsu.com</t>
  </si>
  <si>
    <t>Garcia, Mark Adrian</t>
  </si>
  <si>
    <t>markadrian.garcia@fujitsu.com</t>
  </si>
  <si>
    <t>Diaz, Joe Mari</t>
  </si>
  <si>
    <t>joemari.diaz@fujitsu.com</t>
  </si>
  <si>
    <t>Alon Alon, Richard</t>
  </si>
  <si>
    <t>richard.alonalon@fujitsu.com</t>
  </si>
  <si>
    <t>Estores, John Henry</t>
  </si>
  <si>
    <t>johnhenry.estores@fujitsu.com</t>
  </si>
  <si>
    <t>Crisostomo, Jan Bryce</t>
  </si>
  <si>
    <t>janbryce.crisostomo@fujitsu.com</t>
  </si>
  <si>
    <t>Angcao, Schubert Charls</t>
  </si>
  <si>
    <t>schubertcharls.angcao@fujitsu.com</t>
  </si>
  <si>
    <t>Pabuna, Arturo Jr.</t>
  </si>
  <si>
    <t>arturojr.pabuna@fujitsu.com</t>
  </si>
  <si>
    <t>Flores, Lynn Irish</t>
  </si>
  <si>
    <t>lynnirish.flores@fujitsu.com</t>
  </si>
  <si>
    <t>Aquino, Rhimsie Jay</t>
  </si>
  <si>
    <t>rhimsiejay.aquino@fujitsu.com</t>
  </si>
  <si>
    <t>Bontuyan, Renante</t>
  </si>
  <si>
    <t>bontuyan.renante@fujitsu.com</t>
  </si>
  <si>
    <t>Dultra, Rachael</t>
  </si>
  <si>
    <t>rachael.dultra@fujitsu.com</t>
  </si>
  <si>
    <t>Munar, Rojie Glen</t>
  </si>
  <si>
    <t>rojieglen.munar@fujitsu.com</t>
  </si>
  <si>
    <t>Francisco, John Ray</t>
  </si>
  <si>
    <t>johnray.francisco@fujitsu.com</t>
  </si>
  <si>
    <t>Bustamante, Ralph Jejomar</t>
  </si>
  <si>
    <t>ralphjejomar.bustamante@fujitsu.com</t>
  </si>
  <si>
    <t>Mozar, Joel Matthew</t>
  </si>
  <si>
    <t>joelmatthew.mozar@fujitsu.com</t>
  </si>
  <si>
    <t>Rizaldo, Anthony</t>
  </si>
  <si>
    <t>anthony.rizaldo@fujitsu.com</t>
  </si>
  <si>
    <t>Velasquez, Gianne</t>
  </si>
  <si>
    <t>gianne.velasquez@fujitsu.com</t>
  </si>
  <si>
    <t>Manalili, Carl Isaiah</t>
  </si>
  <si>
    <t>carlisaiah.manalili@fujitsu.com</t>
  </si>
  <si>
    <t>Gonda, Kent Raniel</t>
  </si>
  <si>
    <t>kentraniel.gonda@fujitsu.com</t>
  </si>
  <si>
    <t>Dela Torre, Jayson Louie</t>
  </si>
  <si>
    <t>jaysonlouie.delatorre@fujitsu.com</t>
  </si>
  <si>
    <t>Olivas, Justin</t>
  </si>
  <si>
    <t>justin.olivas@fujitsu.com</t>
  </si>
  <si>
    <t>Labajo, Von Webster</t>
  </si>
  <si>
    <t>vonwebster.labajo@fujitsu.com</t>
  </si>
  <si>
    <t>Jose, Jayson</t>
  </si>
  <si>
    <t>jayson.jose@fujitsu.com</t>
  </si>
  <si>
    <t>Marquez, John Carlo</t>
  </si>
  <si>
    <t>johncarlo.marquez@fujitsu.com</t>
  </si>
  <si>
    <t>Ostia, Maria Nita</t>
  </si>
  <si>
    <t>marianita.ostia@fujitsu.com</t>
  </si>
  <si>
    <t>Gisma, Jerico</t>
  </si>
  <si>
    <t>jerico.gisma@fujitsu.com</t>
  </si>
  <si>
    <t>Bajon, Stephanie</t>
  </si>
  <si>
    <t>stephanie.bajon@fujitsu.com</t>
  </si>
  <si>
    <t>Del Pilar, Jay Albert</t>
  </si>
  <si>
    <t>jayalbert.delpilar@fujitsu.com</t>
  </si>
  <si>
    <t>Gutierrez, Von Geordan</t>
  </si>
  <si>
    <t>vongeordan.gutierrez@fujitsu.com</t>
  </si>
  <si>
    <t>Tatel, Kenneth</t>
  </si>
  <si>
    <t>kenneth.tatel@fujitsu.com</t>
  </si>
  <si>
    <t>Quares, Edward</t>
  </si>
  <si>
    <t>edward.quares@fujitsu.com</t>
  </si>
  <si>
    <t>Supetran, Jan Leo</t>
  </si>
  <si>
    <t>janleo.santossupetran@fujitsu.com</t>
  </si>
  <si>
    <t>Zaldua, Zaira Marie</t>
  </si>
  <si>
    <t>zairamarie.zaldua@fujitsu.com</t>
  </si>
  <si>
    <t>Banuelos, John John</t>
  </si>
  <si>
    <t>johnjohn.banuelos@fujitsu.com</t>
  </si>
  <si>
    <t>Mendoza, Herminia</t>
  </si>
  <si>
    <t>herminia.mendoza@fujitsu.com</t>
  </si>
  <si>
    <t>San Juan, Mario II</t>
  </si>
  <si>
    <t>mario.sanjuan@fujitsu.com</t>
  </si>
  <si>
    <t>Colico, John Rowie</t>
  </si>
  <si>
    <t>johnrowie.colico@fujitsu.com</t>
  </si>
  <si>
    <t>Mercado, Franz</t>
  </si>
  <si>
    <t>franz.mercado@fujitsu.com</t>
  </si>
  <si>
    <t>Luzon, Mark Anthony</t>
  </si>
  <si>
    <t>markanthony.luzon@fujitsu.com</t>
  </si>
  <si>
    <t>Laurel, Carmencita</t>
  </si>
  <si>
    <t>carmencita.laurel@fujitsu.com</t>
  </si>
  <si>
    <t>Vidal, John Rey</t>
  </si>
  <si>
    <t>johnrey.vidal@fujitsu.com</t>
  </si>
  <si>
    <t>Juayang, May Lyn</t>
  </si>
  <si>
    <t>maylyn.juayang@fujitsu.com</t>
  </si>
  <si>
    <t>Dano, Jamaica</t>
  </si>
  <si>
    <t>jamaica.dano@fujitsu.com</t>
  </si>
  <si>
    <t>Marasigan, John Paulo</t>
  </si>
  <si>
    <t>johnpaulo.marasigan@fujitsu.com</t>
  </si>
  <si>
    <t>Salvador, Rodern Jr.</t>
  </si>
  <si>
    <t>rodernjr.salvador@fujitsu.com</t>
  </si>
  <si>
    <t>Mejaro, Mary Jane</t>
  </si>
  <si>
    <t>maryjane.mejaro@fujitsu.com</t>
  </si>
  <si>
    <t>Togle, Vincent Lester</t>
  </si>
  <si>
    <t>vincentlester.togle@fujitsu.com</t>
  </si>
  <si>
    <t>Romero, John Kleir</t>
  </si>
  <si>
    <t>johnkleir.romero@fujitsu.com</t>
  </si>
  <si>
    <t>Aglipay, Karen</t>
  </si>
  <si>
    <t>k.aglipay@fujitsu.com</t>
  </si>
  <si>
    <t>Ayungon, Rove-Ann</t>
  </si>
  <si>
    <t>roveann.ayungon@fujitsu.com</t>
  </si>
  <si>
    <t>Lee, Kimsanuelle</t>
  </si>
  <si>
    <t>kimsanuelle.lee@fujitsu.com</t>
  </si>
  <si>
    <t>Cortes, Prince Jon</t>
  </si>
  <si>
    <t>princejon.cortes@fujitsu.com</t>
  </si>
  <si>
    <t>Dingal, Richard</t>
  </si>
  <si>
    <t>richard.dingal@fujitsu.com</t>
  </si>
  <si>
    <t>Abanes, Nico Angelo</t>
  </si>
  <si>
    <t>nicoangelo.abanes@fujitsu.com</t>
  </si>
  <si>
    <t>Parto, Javler</t>
  </si>
  <si>
    <t>javler.parto@fujitsu.com</t>
  </si>
  <si>
    <t>Fabia, Shyla Mae</t>
  </si>
  <si>
    <t>shylamae.fabia@fujitsu.com</t>
  </si>
  <si>
    <t>Legaspi, Reynell</t>
  </si>
  <si>
    <t>reynell.legaspi@fujitsu.com</t>
  </si>
  <si>
    <t>Santelices, Ernie II</t>
  </si>
  <si>
    <t>ernieii.santelices@fujitsu.com</t>
  </si>
  <si>
    <t>Belnas, Kenneth Clark</t>
  </si>
  <si>
    <t>kennethclark.belnas@fujitsu.com</t>
  </si>
  <si>
    <t>Osorio, Jay</t>
  </si>
  <si>
    <t>osorio.jay@fujitsu.com</t>
  </si>
  <si>
    <t>Rebusa, Ielene</t>
  </si>
  <si>
    <t>ielene.rebusa@fujitsu.com</t>
  </si>
  <si>
    <t>Paule, Allen Joshua</t>
  </si>
  <si>
    <t>allenjoshua.paule@fujitsu.com</t>
  </si>
  <si>
    <t>Alavazo, Christian</t>
  </si>
  <si>
    <t>christian.alavazo@fujitsu.com</t>
  </si>
  <si>
    <t>Kanapi, Juan Conrado Martin</t>
  </si>
  <si>
    <t>juanconradomartin.kanapi@fujitsu.com</t>
  </si>
  <si>
    <t>Sarte, Josar Jr.</t>
  </si>
  <si>
    <t>sarte.josarjr@fujitsu.com</t>
  </si>
  <si>
    <t>Biasca, Mark Kevin</t>
  </si>
  <si>
    <t>markkevin.biasca@fujitsu.com</t>
  </si>
  <si>
    <t>Miranda, Jomari</t>
  </si>
  <si>
    <t>jomari.miranda@fujitsu.com</t>
  </si>
  <si>
    <t>Marron, Steven Arron</t>
  </si>
  <si>
    <t>stevenarron.marron@fujitsu.com</t>
  </si>
  <si>
    <t>Reducto, Orlan</t>
  </si>
  <si>
    <t>orlan.reducto@fujitsu.com</t>
  </si>
  <si>
    <t>Urbiztondo, Pynky</t>
  </si>
  <si>
    <t>pynky.urbiztondo@fujitsu.com</t>
  </si>
  <si>
    <t>Delos Santos, Cyrus</t>
  </si>
  <si>
    <t>cyrus.delossantos@fujitsu.com</t>
  </si>
  <si>
    <t>Cosico, Marjori</t>
  </si>
  <si>
    <t>marjorie.cosico@fujitsu.com</t>
  </si>
  <si>
    <t>Talisaysay, Jenilyn</t>
  </si>
  <si>
    <t>jenilyn.talisaysay@fujitsu.com</t>
  </si>
  <si>
    <t>Padernal, Carlo</t>
  </si>
  <si>
    <t>carlo.padernal@fujitsu.com</t>
  </si>
  <si>
    <t>Alonzo, Mara Carmela</t>
  </si>
  <si>
    <t>m.alonzo@fujitsu.com</t>
  </si>
  <si>
    <t>Garcia, Benjamin Jr.</t>
  </si>
  <si>
    <t>benjaminjr.garcia@fujitsu.com</t>
  </si>
  <si>
    <t>De La Serna, Daniel Joseph</t>
  </si>
  <si>
    <t>danieljoseph.delaserna@fujitsu.com</t>
  </si>
  <si>
    <t>Almonte, Jesse Ephraim</t>
  </si>
  <si>
    <t>jesseephraim.almonte@fujitsu.com</t>
  </si>
  <si>
    <t>Sajul, Christian Lemuel</t>
  </si>
  <si>
    <t>christianlemuel.sajul@fujitsu.com</t>
  </si>
  <si>
    <t>Nolasco, Noel</t>
  </si>
  <si>
    <t>noel.nolasco@fujitsu.com</t>
  </si>
  <si>
    <t>Perang, Cavin John</t>
  </si>
  <si>
    <t>cavinjohn.perang@fujitsu.com</t>
  </si>
  <si>
    <t>Santos, Neil Rovie</t>
  </si>
  <si>
    <t>santos.neilrovie@fujitsu.com</t>
  </si>
  <si>
    <t>Cadano, Romanuelle</t>
  </si>
  <si>
    <t>romanuelle.cadano@fujitsu.com</t>
  </si>
  <si>
    <t>Arboleda, Jose Jorge</t>
  </si>
  <si>
    <t>josejorge.arboleda@fujitsu.com</t>
  </si>
  <si>
    <t>Castino, Marvince</t>
  </si>
  <si>
    <t>marvince.castino@fujitsu.com</t>
  </si>
  <si>
    <t>Guilaran, Kero</t>
  </si>
  <si>
    <t>kero.guilaran@fujitsu.com</t>
  </si>
  <si>
    <t>Escuyos, John Mher</t>
  </si>
  <si>
    <t>johnmher.escuyos@fujitsu.com</t>
  </si>
  <si>
    <t>Soriano, John Prince</t>
  </si>
  <si>
    <t>johnprince.soriano@fujitsu.com</t>
  </si>
  <si>
    <t>Suico, John Paolo</t>
  </si>
  <si>
    <t>johnpaolo.suico@fujitsu.com</t>
  </si>
  <si>
    <t>Cañeda, Andrei Carl</t>
  </si>
  <si>
    <t>andreicarl.caneda@fujitsu.com</t>
  </si>
  <si>
    <t>Amora, Glenn</t>
  </si>
  <si>
    <t>glenn.amora@fujitsu.com</t>
  </si>
  <si>
    <t>Mendoza, Warren</t>
  </si>
  <si>
    <t>warren.mendoza@fujitsu.com</t>
  </si>
  <si>
    <t>Corilla, Jeffrene Edson</t>
  </si>
  <si>
    <t>jeffreneedson.corilla@fujitsu.com</t>
  </si>
  <si>
    <t>Lumbreras, John Michael</t>
  </si>
  <si>
    <t>johnmichael.lumbreras@fujitsu.com</t>
  </si>
  <si>
    <t>Liwanag, Christer</t>
  </si>
  <si>
    <t>christer.liwanag@fujitsu.com</t>
  </si>
  <si>
    <t>Urgelles, Emeryll</t>
  </si>
  <si>
    <t>emeryll.urgelles@fujitsu.com</t>
  </si>
  <si>
    <t>Espinosa, Marwin</t>
  </si>
  <si>
    <t>marwin.espinosa@fujitsu.com</t>
  </si>
  <si>
    <t>Olaco, Christian Frederick</t>
  </si>
  <si>
    <t>christianfrederick.olaco@fujitsu.com</t>
  </si>
  <si>
    <t>Cruz, John Bryle</t>
  </si>
  <si>
    <t>johnbryle.cruz@fujitsu.com</t>
  </si>
  <si>
    <t>Khey, Karl Arjon</t>
  </si>
  <si>
    <t>karlarjon.khey@fujitsu.com</t>
  </si>
  <si>
    <t>Galao, Ferrarie</t>
  </si>
  <si>
    <t>ferrarie.galao@fujitsu.com</t>
  </si>
  <si>
    <t>Borero, Joseph Maurice</t>
  </si>
  <si>
    <t>josephmaurice.borero@fujitsu.com</t>
  </si>
  <si>
    <t>Penafiel, Garry Fox</t>
  </si>
  <si>
    <t>garryfox.penafiel@fujitsu.com</t>
  </si>
  <si>
    <t>Aquino, Crisanto</t>
  </si>
  <si>
    <t>crisanto.aquino@fujitsu.com</t>
  </si>
  <si>
    <t>Historillo, Michael Oliver</t>
  </si>
  <si>
    <t>michaeloliver.historillo@fujitsu.com</t>
  </si>
  <si>
    <t>Ortiz, Ramon Aurus</t>
  </si>
  <si>
    <t>ramonaurus.ortiz@fujitsu.com</t>
  </si>
  <si>
    <t>Soriano, Johara</t>
  </si>
  <si>
    <t>johara.soriano@fujitsu.com</t>
  </si>
  <si>
    <t>Espanto, Rafael</t>
  </si>
  <si>
    <t>rafael.espanto@fujitsu.com</t>
  </si>
  <si>
    <t>Golloso, Patrick John</t>
  </si>
  <si>
    <t>patrickjohn.golloso@fujitsu.com</t>
  </si>
  <si>
    <t>Gabriel, Kim</t>
  </si>
  <si>
    <t>kim.gabriel@fujitsu.com</t>
  </si>
  <si>
    <t>Parica, Charmaine Joyce</t>
  </si>
  <si>
    <t>charmainejoyce.parica@fujitsu.com</t>
  </si>
  <si>
    <t>Buatis, Earl John</t>
  </si>
  <si>
    <t>earljohn.buatis@fujitsu.com</t>
  </si>
  <si>
    <t>Viaña, Rothsen</t>
  </si>
  <si>
    <t>rothsen.viana@fujitsu.com</t>
  </si>
  <si>
    <t>Corvera, Kevin</t>
  </si>
  <si>
    <t>kevin.corvera@fujitsu.com</t>
  </si>
  <si>
    <t>Camiling, Kristine</t>
  </si>
  <si>
    <t>kristine.camiling@fujitsu.com</t>
  </si>
  <si>
    <t>Tuazon, Michaela Mae</t>
  </si>
  <si>
    <t>tuazon.michaelamae@fujitsu.com</t>
  </si>
  <si>
    <t>Rodil, Jessica</t>
  </si>
  <si>
    <t>jessica.rodil@fujitsu.com</t>
  </si>
  <si>
    <t>Rivera, Radge Albert</t>
  </si>
  <si>
    <t>radgealbert.rivera@fujitsu.com</t>
  </si>
  <si>
    <t>Pagute, Jackie</t>
  </si>
  <si>
    <t>jackie.pagute@fujitsu.com</t>
  </si>
  <si>
    <t>Retiza, Niño Anthony</t>
  </si>
  <si>
    <t>ninoanthony.retiza@fujitsu.com</t>
  </si>
  <si>
    <t>Decretales, Kristian</t>
  </si>
  <si>
    <t>kristian.decretales@fujitsu.com</t>
  </si>
  <si>
    <t>Olaguera, Jason</t>
  </si>
  <si>
    <t>jason.olaguera@fujitsu.com</t>
  </si>
  <si>
    <t>Abejar, Jonathan</t>
  </si>
  <si>
    <t>jonathan.abejar@fujitsu.com</t>
  </si>
  <si>
    <t>Pinpin, Frince Aristotle</t>
  </si>
  <si>
    <t>frincearistotle.pinpin@fujitsu.com</t>
  </si>
  <si>
    <t>Buena, John Tristan</t>
  </si>
  <si>
    <t>johntristan.buena@fujitsu.com</t>
  </si>
  <si>
    <t>Lazaro, John Ely</t>
  </si>
  <si>
    <t>johnely.lazaro@fujitsu.com</t>
  </si>
  <si>
    <t>Ricamonte, Darwin</t>
  </si>
  <si>
    <t>darwin.ricamonte@fujitsu.com</t>
  </si>
  <si>
    <t>Rocio, Norissa</t>
  </si>
  <si>
    <t>norissa.rocio@fujitsu.com</t>
  </si>
  <si>
    <t>Cañete, Rusty John</t>
  </si>
  <si>
    <t>rustyjohn.canete@fujitsu.com</t>
  </si>
  <si>
    <t>Delos Reyes, Jefferson</t>
  </si>
  <si>
    <t>jefferson.delosreyes@fujitsu.com</t>
  </si>
  <si>
    <t>Valdez, Charlie</t>
  </si>
  <si>
    <t>charlie.valdez@fujitsu.com</t>
  </si>
  <si>
    <t>Tribiana, Orly</t>
  </si>
  <si>
    <t>orly.tribiana@fujitsu.com</t>
  </si>
  <si>
    <t>Gonzales, Albert John</t>
  </si>
  <si>
    <t>albertjohn.gonzales@fujitsu.com</t>
  </si>
  <si>
    <t>Patingo, John Yves</t>
  </si>
  <si>
    <t>johnyves.patingo@fujitsu.com</t>
  </si>
  <si>
    <t>Maynigo, Ronald Jhon</t>
  </si>
  <si>
    <t>ronaldjhon.maynigo@fujitsu.com</t>
  </si>
  <si>
    <t>Lisondra, Teody Mark</t>
  </si>
  <si>
    <t>lisondra.teodymark@fujitsu.com</t>
  </si>
  <si>
    <t>Canon, Jasper John Carlo</t>
  </si>
  <si>
    <t>jasperjohncarlo.canon@fujitsu.com</t>
  </si>
  <si>
    <t>Oamil, Quim Michael Malori</t>
  </si>
  <si>
    <t>quimmichaelmalori.oamil@fujitsu.com</t>
  </si>
  <si>
    <t>Agustin, Jade</t>
  </si>
  <si>
    <t>jade.agustin@fujitsu.com</t>
  </si>
  <si>
    <t>Villamil, Simon</t>
  </si>
  <si>
    <t>simon.villamil@fujitsu.com</t>
  </si>
  <si>
    <t>Solatorio, Gilbert</t>
  </si>
  <si>
    <t>gilbert.solatorio@fujitsu.com</t>
  </si>
  <si>
    <t>Erese, Justin Aaron</t>
  </si>
  <si>
    <t>justinaaron.erese@fujitsu.com</t>
  </si>
  <si>
    <t>Ermac, Arvin Ray</t>
  </si>
  <si>
    <t>arvinray.ermac@fujitsu.com</t>
  </si>
  <si>
    <t>Ferrer, Eruel Allen</t>
  </si>
  <si>
    <t>eruelallen.ferrer@fujitsu.com</t>
  </si>
  <si>
    <t>Rabulan, Anton Roumel</t>
  </si>
  <si>
    <t>antonroumel.rabulan@fujitsu.com</t>
  </si>
  <si>
    <t>Belo, Ryan Paulo</t>
  </si>
  <si>
    <t>ryanpaulo.belo@fujitsu.com</t>
  </si>
  <si>
    <t>Decena, Jomari</t>
  </si>
  <si>
    <t>jomari.decena@fujitsu.com</t>
  </si>
  <si>
    <t>Zerrudo, Zander</t>
  </si>
  <si>
    <t>zander.zerrudo@fujitsu.com</t>
  </si>
  <si>
    <t>Bajaro, Jessie</t>
  </si>
  <si>
    <t>jessie.bajaro@fujitsu.com</t>
  </si>
  <si>
    <t>Caruana, Helen</t>
  </si>
  <si>
    <t>helen.caruana@fujitsu.com</t>
  </si>
  <si>
    <t>Doroja, Efren Jr.</t>
  </si>
  <si>
    <t>efrenjr.doroja@fujitsu.com</t>
  </si>
  <si>
    <t>Frias, Mark Brian</t>
  </si>
  <si>
    <t>markbrian.frias@fujitsu.com</t>
  </si>
  <si>
    <t>Chavez, Marjune</t>
  </si>
  <si>
    <t>marjune.chavez@fujitsu.com</t>
  </si>
  <si>
    <t>Labutap, Cedric</t>
  </si>
  <si>
    <t>cedric.labutap@fujitsu.com</t>
  </si>
  <si>
    <t>Alcorano, Ryan</t>
  </si>
  <si>
    <t>ryan.alcorano@fujitsu.com</t>
  </si>
  <si>
    <t>Galvez, Jan Oliver</t>
  </si>
  <si>
    <t>janoliver.galvez@fujitsu.com</t>
  </si>
  <si>
    <t>Gerzon, Anecito III</t>
  </si>
  <si>
    <t>anecito.gerzon@fujitsu.com</t>
  </si>
  <si>
    <t>Adante, Ramon Paul</t>
  </si>
  <si>
    <t>ramonpaul.adante@fujitsu.com</t>
  </si>
  <si>
    <t>Dalmacio, Angelo Mac Dennrry</t>
  </si>
  <si>
    <t>angelomacdennrry.dalmacio@fujitsu.com</t>
  </si>
  <si>
    <t>Uneta, Ronmark</t>
  </si>
  <si>
    <t>ronmark.uneta@fujitsu.com</t>
  </si>
  <si>
    <t>Rempoho, Jamaica Joschua</t>
  </si>
  <si>
    <t>jamaicajoschua.rempoho@fujitsu.com</t>
  </si>
  <si>
    <t>Balboa, Levi Hector</t>
  </si>
  <si>
    <t>levihector.balboa@fujitsu.com</t>
  </si>
  <si>
    <t>Ubay, Aljune</t>
  </si>
  <si>
    <t>aljune.ubay@fujitsu.com</t>
  </si>
  <si>
    <t>Grabillo, Wennie Joy</t>
  </si>
  <si>
    <t>wenniejoy.grabillo@fujitsu.com</t>
  </si>
  <si>
    <t>Alipala, Rovel Vincent</t>
  </si>
  <si>
    <t>rovellvincent.alipala@fujitsu.com</t>
  </si>
  <si>
    <t>Navarro, Hildo</t>
  </si>
  <si>
    <t>hildo.navarro@fujitsu.com</t>
  </si>
  <si>
    <t>Navales, Stiffy</t>
  </si>
  <si>
    <t>stiffy.navales@fujitsu.com</t>
  </si>
  <si>
    <t>Amoguis, Stephanie Kyle</t>
  </si>
  <si>
    <t>stephaniekyle.amoguis@fujitsu.com</t>
  </si>
  <si>
    <t>Lladones, Jonas Josef</t>
  </si>
  <si>
    <t>jonasjosef.lladones@fujitsu.com</t>
  </si>
  <si>
    <t>Dela Guardia, Jay</t>
  </si>
  <si>
    <t>jay.delaguardia@fujitsu.com</t>
  </si>
  <si>
    <t>Romero, Kenxyriel</t>
  </si>
  <si>
    <t>romero.kenxyriel@fujitsu.com</t>
  </si>
  <si>
    <t>Rimas, Paulino</t>
  </si>
  <si>
    <t>paulino.rimas@fujitsu.com</t>
  </si>
  <si>
    <t>Magsino, Rhoejo</t>
  </si>
  <si>
    <t>rhoejo.magsino@fujitsu.com</t>
  </si>
  <si>
    <t>Aresco, John Nelson</t>
  </si>
  <si>
    <t>johnnelson.aresco@fujitsu.com</t>
  </si>
  <si>
    <t>Gutierrez, Kierre Thaddeus</t>
  </si>
  <si>
    <t>kierrethaddeus.gutierrez@fujitsu.com</t>
  </si>
  <si>
    <t>Robenta, Roderick</t>
  </si>
  <si>
    <t>roderick.robenta@fujitsu.com</t>
  </si>
  <si>
    <t>Bashan, Maybelle</t>
  </si>
  <si>
    <t>maybelle.bashan@fujitsu.com</t>
  </si>
  <si>
    <t>Monteza, Randy</t>
  </si>
  <si>
    <t>randy.monteza@fujitsu.com</t>
  </si>
  <si>
    <t>Siapno, Regina</t>
  </si>
  <si>
    <t>regina.siapno@fujitsu.com</t>
  </si>
  <si>
    <t>Caranza, Chrischel Anne</t>
  </si>
  <si>
    <t>chrischelanne.caranza@fujitsu.com</t>
  </si>
  <si>
    <t>Galasinao, Pauline Mae</t>
  </si>
  <si>
    <t>paulinemae.galasinao@fujitsu.com</t>
  </si>
  <si>
    <t>Tupas, Sir Abraham</t>
  </si>
  <si>
    <t>sirabraham.tupas@fujitsu.com</t>
  </si>
  <si>
    <t>Serrano, Mark</t>
  </si>
  <si>
    <t>mark.serrano@fujitsu.com</t>
  </si>
  <si>
    <t>Soria, Katrina</t>
  </si>
  <si>
    <t>katrina.soria@fujitsu.com</t>
  </si>
  <si>
    <t>Medina, Reynante</t>
  </si>
  <si>
    <t>reynante.medina@fujitsu.com</t>
  </si>
  <si>
    <t>Malaluan, Carlo</t>
  </si>
  <si>
    <t>carlo.malaluan@fujitsu.com</t>
  </si>
  <si>
    <t>Luzon, Herminio</t>
  </si>
  <si>
    <t>herminio.luzon@fujitsu.com</t>
  </si>
  <si>
    <t>Guacena, Aira Sofia Marie</t>
  </si>
  <si>
    <t>guacena.airasofiamarie@fujitsu.com</t>
  </si>
  <si>
    <t>Jimenez, Angelico</t>
  </si>
  <si>
    <t>angelico.jimenez@fujitsu.com</t>
  </si>
  <si>
    <t>Magtagñob, Antonio</t>
  </si>
  <si>
    <t>antonio.magtagnob@fujitsu.com</t>
  </si>
  <si>
    <t>Abrea, Angelica Mae</t>
  </si>
  <si>
    <t>angelicamae.abrea@fujitsu.com</t>
  </si>
  <si>
    <t>Alvarez, Anelie</t>
  </si>
  <si>
    <t>anelie.alvarez@fujitsu.com</t>
  </si>
  <si>
    <t>Bacer, Adrian Arvin</t>
  </si>
  <si>
    <t>adrianarvin.bacer@fujitsu.com</t>
  </si>
  <si>
    <t>Prudente, John</t>
  </si>
  <si>
    <t>john.prudente@fujitsu.com</t>
  </si>
  <si>
    <t>Flores, Jonh Joel</t>
  </si>
  <si>
    <t>jonhjoel.flores@fujitsu.com</t>
  </si>
  <si>
    <t>Lopez, Andrew</t>
  </si>
  <si>
    <t>andrew.lopez@fujitsu.com</t>
  </si>
  <si>
    <t>Gain, Gerald</t>
  </si>
  <si>
    <t>gerald.gain@fujitsu.com</t>
  </si>
  <si>
    <t>Alcantara, Paula Gene</t>
  </si>
  <si>
    <t>paulagene.alcantara@fujitsu.com</t>
  </si>
  <si>
    <t>Perpetua, Phillip Aaron</t>
  </si>
  <si>
    <t>phillipaaron.perpetua@fujitsu.com</t>
  </si>
  <si>
    <t>Ong, Nathaniel</t>
  </si>
  <si>
    <t>nathaniel.ong@fujitsu.com</t>
  </si>
  <si>
    <t>Bantugan, Romeo Jr.</t>
  </si>
  <si>
    <t>romeojr.bantugan@fujitsu.com</t>
  </si>
  <si>
    <t>Marquez, Frederick</t>
  </si>
  <si>
    <t>frederick.marquez@fujitsu.com</t>
  </si>
  <si>
    <t>Partoza, Mark Leonard</t>
  </si>
  <si>
    <t>markleonard.partoza@fujitsu.com</t>
  </si>
  <si>
    <t>Sungkip, Mark Caesar Miguel</t>
  </si>
  <si>
    <t>markcaesarmiguel.sungkip@fujitsu.com</t>
  </si>
  <si>
    <t>Gerona, Lloyd Lawrence</t>
  </si>
  <si>
    <t>lloydlawrence.gerona@fujitsu.com</t>
  </si>
  <si>
    <t>Bayudan, Noel</t>
  </si>
  <si>
    <t>noel.bayudan@fujitsu.com</t>
  </si>
  <si>
    <t>Delimos, Tricia Ann</t>
  </si>
  <si>
    <t>triciaann.delimos@fujitsu.com</t>
  </si>
  <si>
    <t>Mojica, Alyssa Kolin</t>
  </si>
  <si>
    <t>alyssakolim.mojica@fujitsu.com</t>
  </si>
  <si>
    <t>Villacruz, Rizelle</t>
  </si>
  <si>
    <t>rizelle.villacruz@fujitsu.com</t>
  </si>
  <si>
    <t>Mamilla, Mary Joy</t>
  </si>
  <si>
    <t>maryjoy.mamilla@fujitsu.com</t>
  </si>
  <si>
    <t>Igot, Christian Kent</t>
  </si>
  <si>
    <t>christiankent.igot@fujitsu.com</t>
  </si>
  <si>
    <t>Pamero, Francis</t>
  </si>
  <si>
    <t>francis.pamero@fujitsu.com</t>
  </si>
  <si>
    <t>Bartolo, Raphael Christian</t>
  </si>
  <si>
    <t>bartolo.raphaelchristian@fujitsu.com</t>
  </si>
  <si>
    <t>Amaquin, Paul Aljohn</t>
  </si>
  <si>
    <t>paulaljohn.amaquin@fujitsu.com</t>
  </si>
  <si>
    <t>Portin, Kenneth Jhon</t>
  </si>
  <si>
    <t>kennethjhon.portin@fujitsu.com</t>
  </si>
  <si>
    <t>Comilang, Eric John</t>
  </si>
  <si>
    <t>ericjohn.comilang@fujitsu.com</t>
  </si>
  <si>
    <t>Jarangan, Raven Vince</t>
  </si>
  <si>
    <t>ravenvince.jarangan@fujitsu.com</t>
  </si>
  <si>
    <t>Caidoy, John Lennon</t>
  </si>
  <si>
    <t>johnlennon.caidoy@fujitsu.com</t>
  </si>
  <si>
    <t>Timajo, Rheu</t>
  </si>
  <si>
    <t>rheu.timajo@fujitsu.com</t>
  </si>
  <si>
    <t>Danganan, Raven Dhel</t>
  </si>
  <si>
    <t>ravendhel.danganan@fujitsu.com</t>
  </si>
  <si>
    <t>Lauron, John Carlo</t>
  </si>
  <si>
    <t>johncarlo.lauron@fujitsu.com</t>
  </si>
  <si>
    <t>Gegabalen, Joshua Vial</t>
  </si>
  <si>
    <t>joshuavial.gegabalen@fujitsu.com</t>
  </si>
  <si>
    <t>Gumanay, Jhon Micho</t>
  </si>
  <si>
    <t>jhonmicho.gumanay@fujitsu.com</t>
  </si>
  <si>
    <t>Velonza , Richard Jr.</t>
  </si>
  <si>
    <t>richard.velonzajr@fujitsu.com</t>
  </si>
  <si>
    <t>Rebagoda, Garret</t>
  </si>
  <si>
    <t>garret.rebagoda@fujitsu.onmicrosoft.com</t>
  </si>
  <si>
    <t>Reyes, Rommel Jr.</t>
  </si>
  <si>
    <t>Miranda, Alvin</t>
  </si>
  <si>
    <t>alvin.miranda@fujitsu.com</t>
  </si>
  <si>
    <t>Cabido, John Matthew</t>
  </si>
  <si>
    <t>johnmathew.cabido@fujitsu.com</t>
  </si>
  <si>
    <t>Perez, Ted Jesuit</t>
  </si>
  <si>
    <t>tedjesuit.perez@fujitsu.com</t>
  </si>
  <si>
    <t>Palti, Sairahlen</t>
  </si>
  <si>
    <t>sairahlen.palti@fujitsu.com</t>
  </si>
  <si>
    <t>Santillan, John Paulo</t>
  </si>
  <si>
    <t>johnpaulo.santillan@fujitsu.com</t>
  </si>
  <si>
    <t>Lorica, Michelle</t>
  </si>
  <si>
    <t>michelle.lorica@fujitsu.com</t>
  </si>
  <si>
    <t>Sibangan, Seth Andre</t>
  </si>
  <si>
    <t>sethandre.sibangan@fujitsu.com</t>
  </si>
  <si>
    <t>Valencerina, Eldrich Bong</t>
  </si>
  <si>
    <t>eb.valencerina@fujitsu.com</t>
  </si>
  <si>
    <t>Asoi, Matt Yoshikazu</t>
  </si>
  <si>
    <t>mattyoshikazu.asoi@fujitsu.com</t>
  </si>
  <si>
    <t>Colcol, Junril</t>
  </si>
  <si>
    <t>colcoljunril.colcol@fujitsu.com</t>
  </si>
  <si>
    <t>Panibe, Ace Patrick</t>
  </si>
  <si>
    <t>acepatrick.panibe@fujitsu.com</t>
  </si>
  <si>
    <t>Balmeo, Lambert Allan</t>
  </si>
  <si>
    <t>lambertallan.balmeo@fujitsu.com</t>
  </si>
  <si>
    <t>Brillantes, Alvin</t>
  </si>
  <si>
    <t>alvin.brillantes@fujitsu.com</t>
  </si>
  <si>
    <t>Capua, Vicent</t>
  </si>
  <si>
    <t>vicent.capua@fujitsu.com</t>
  </si>
  <si>
    <t>Carlos, Ferdinand Louie</t>
  </si>
  <si>
    <t>ferdinandlouie.carlos@fujitsu.com</t>
  </si>
  <si>
    <t>Ching Sai, Karen</t>
  </si>
  <si>
    <t>karen.chingsai@fujitsu.com</t>
  </si>
  <si>
    <t>Ganuelas, Mel Bryan</t>
  </si>
  <si>
    <t>melbryan.ganuelas@fujitsu.com</t>
  </si>
  <si>
    <t>Homo, Lhorie Anne</t>
  </si>
  <si>
    <t>lhorieanne.homo@fujitsu.com</t>
  </si>
  <si>
    <t>Lenon, Shan Austin</t>
  </si>
  <si>
    <t>seanaustin.lenon@fujitsu.com</t>
  </si>
  <si>
    <t>Marasigan, John Denver</t>
  </si>
  <si>
    <t>johndenver.marasigan@fujitsu.com</t>
  </si>
  <si>
    <t>Nidoy, Jerlyn</t>
  </si>
  <si>
    <t>JerlynNid@fujitsu.com</t>
  </si>
  <si>
    <t>Sarmiento, Criselle</t>
  </si>
  <si>
    <t>criselle.sarmiento@fujitsu.com</t>
  </si>
  <si>
    <t>Tabia, Josue</t>
  </si>
  <si>
    <t>tabia.josue@fujitsu.com</t>
  </si>
  <si>
    <t>Arriola, Brandon</t>
  </si>
  <si>
    <t>brando.arriola@fujitsu.com</t>
  </si>
  <si>
    <t>Dela Cruz, Jhuniel</t>
  </si>
  <si>
    <t>jhuniel.delacruz@fujitsu.com</t>
  </si>
  <si>
    <t>Lalo, Jerson</t>
  </si>
  <si>
    <t>Teope, Edison</t>
  </si>
  <si>
    <t>Toong, Maynard</t>
  </si>
  <si>
    <t>Bacalso, Lowell John</t>
  </si>
  <si>
    <t>lowelljohn.bacalso@fujitsu.com</t>
  </si>
  <si>
    <t>Diaz, Jestony</t>
  </si>
  <si>
    <t>jestony.diaz@fujitsu.com</t>
  </si>
  <si>
    <t>Duites, Allyson</t>
  </si>
  <si>
    <t>allyson.duites@fujitsu.com</t>
  </si>
  <si>
    <t>Cerbito, John Dennies</t>
  </si>
  <si>
    <t>johndennies.cerbito@fujitsu.com</t>
  </si>
  <si>
    <t>Escalante, Maica</t>
  </si>
  <si>
    <t>maica.escalante@fujitsu.com</t>
  </si>
  <si>
    <t>Francisco, John Brenon</t>
  </si>
  <si>
    <t>Limson, Mark Deo</t>
  </si>
  <si>
    <t>Lipian, Joshua</t>
  </si>
  <si>
    <t>Manuel, Mark Jester</t>
  </si>
  <si>
    <t>Tolentino, Aila</t>
  </si>
  <si>
    <t>Balita, Mary Joanne</t>
  </si>
  <si>
    <t>maryjoanne.balita@fujitsu.com</t>
  </si>
  <si>
    <t>Ramos, Renz</t>
  </si>
  <si>
    <t>Ang, Shara Brigitte</t>
  </si>
  <si>
    <t>sharabrigitte.ang@fujitsu.com</t>
  </si>
  <si>
    <t>Balonzo, Christian Jade</t>
  </si>
  <si>
    <t>christianjade.balonzo@fujitsu.com</t>
  </si>
  <si>
    <t>Castillo, Joseph Jean Sedrick</t>
  </si>
  <si>
    <t>Cui, Renen Christopher</t>
  </si>
  <si>
    <t>Hernandez, Julius</t>
  </si>
  <si>
    <t>Mansueto, Al Raniel</t>
  </si>
  <si>
    <t>Panerio, Christian</t>
  </si>
  <si>
    <t>Secreto, Hansel</t>
  </si>
  <si>
    <t>Tiongco, John Carlo</t>
  </si>
  <si>
    <t>Balajadia, Daniel Jr.</t>
  </si>
  <si>
    <t>daniel.balajadia@fujitsu.com</t>
  </si>
  <si>
    <t>Estanislao, Earl Cefiro</t>
  </si>
  <si>
    <t>Payos, Joe Marie</t>
  </si>
  <si>
    <t>Dela Cruz, Kevin Roy</t>
  </si>
  <si>
    <t>kevinroy.delacruz@fujitsu.com</t>
  </si>
  <si>
    <t>Bandao, Donabel</t>
  </si>
  <si>
    <t>donabel.bandao@fujitsu.com</t>
  </si>
  <si>
    <t>Porlares, Jocelyn</t>
  </si>
  <si>
    <t>Magno, Christian Lemuel Soc</t>
  </si>
  <si>
    <t>Pascua, Emilyn</t>
  </si>
  <si>
    <t>Garcia, Kevin Rens</t>
  </si>
  <si>
    <t>Garcia, Ghester Daved</t>
  </si>
  <si>
    <t>Mendoza, Eduardo Jr.</t>
  </si>
  <si>
    <t>Ragot, Clarice Ivee</t>
  </si>
  <si>
    <t>Santos, Khye Marie</t>
  </si>
  <si>
    <t>Buenaflor, Mateo Luis</t>
  </si>
  <si>
    <t>mateoluis.buenaflor@fujitsu.com</t>
  </si>
  <si>
    <t>Dinopol, Floyd</t>
  </si>
  <si>
    <t>floyd.dinopol@fujitsu.com</t>
  </si>
  <si>
    <t>Clemente, Christopher Caye</t>
  </si>
  <si>
    <t>christophercaye.clemente@fujitsu.com</t>
  </si>
  <si>
    <t>Encina, John Lester</t>
  </si>
  <si>
    <t>johnlester.encina@fujitsu.com</t>
  </si>
  <si>
    <t>Fiel, Giovanni Paulo</t>
  </si>
  <si>
    <t>Mozon, Bill</t>
  </si>
  <si>
    <t>Velasquez, June Bryan</t>
  </si>
  <si>
    <t>Naz, Genrick</t>
  </si>
  <si>
    <t>Biag, Hendrix</t>
  </si>
  <si>
    <t>hendrix.biag@fujitsu.com</t>
  </si>
  <si>
    <t>Francisco, Lord Wendell</t>
  </si>
  <si>
    <t>Gattoc, Christian Warren</t>
  </si>
  <si>
    <t>Legaspi, Ma. Kaye Celine</t>
  </si>
  <si>
    <t>Mendoza, Jan Tyron</t>
  </si>
  <si>
    <t>Nolasco, Bernard Neil</t>
  </si>
  <si>
    <t>bernardniel.nolasco@fujitsu.com</t>
  </si>
  <si>
    <t>Poblete, Cris Evan</t>
  </si>
  <si>
    <t>Macapaz, Van Dexter</t>
  </si>
  <si>
    <t>Canoy, Regille</t>
  </si>
  <si>
    <t>regille.canoy@fujitsu.com</t>
  </si>
  <si>
    <t>Restor, Elwin</t>
  </si>
  <si>
    <t>Manimtim, Jayvee</t>
  </si>
  <si>
    <t>Hizon, Mark Andrian</t>
  </si>
  <si>
    <t>Soriano, Jorge Carlo</t>
  </si>
  <si>
    <t>Benavidez, Eugine</t>
  </si>
  <si>
    <t>eugine.benavidez@fujitsu.com</t>
  </si>
  <si>
    <t>Carabeo, Ma. Rocelina</t>
  </si>
  <si>
    <t>marocelina.carabeo@fujitsu.com</t>
  </si>
  <si>
    <t>Empaynado, John Denver</t>
  </si>
  <si>
    <t>johndenver.empaynado@fujitsu.com</t>
  </si>
  <si>
    <t>Falsis, David Francis</t>
  </si>
  <si>
    <t>Garde, Justin</t>
  </si>
  <si>
    <t>Generalao, Elaine</t>
  </si>
  <si>
    <t>Igaya, John Marty</t>
  </si>
  <si>
    <t>Junio, Salvador III</t>
  </si>
  <si>
    <t>Moradillo, Aries Kenneth</t>
  </si>
  <si>
    <t>Taylor, Ramil</t>
  </si>
  <si>
    <t>Abique, Christian</t>
  </si>
  <si>
    <t>abique.christian@fujitsu.com</t>
  </si>
  <si>
    <t>Agliam, Junnel</t>
  </si>
  <si>
    <t>junnel.agliam@fujitsu.com</t>
  </si>
  <si>
    <t>Aldaba, Gene Aldrin</t>
  </si>
  <si>
    <t>genealdrin.aldaba@fujitsu.com</t>
  </si>
  <si>
    <t>Altiveros, Elizor</t>
  </si>
  <si>
    <t>elizor.altiveros@fujitsu.com</t>
  </si>
  <si>
    <t>Alejandro, Wyndham Keith</t>
  </si>
  <si>
    <t>wyndhamkeith.alejandro@fujitsu.com</t>
  </si>
  <si>
    <t>Baet, Ralph Luigie</t>
  </si>
  <si>
    <t>Petil, Esmeralda</t>
  </si>
  <si>
    <t>Gascon, Dexter</t>
  </si>
  <si>
    <t>dexter.gascon@fujitsu.com</t>
  </si>
  <si>
    <t>Decena, John Jairo</t>
  </si>
  <si>
    <t>johnjairo.decena@fujitsu.com</t>
  </si>
  <si>
    <t>Gonzales, Jayson</t>
  </si>
  <si>
    <t>jayson.gonzales@fujitsu.com</t>
  </si>
  <si>
    <t>Barrios, Joshua Loremin</t>
  </si>
  <si>
    <t>joshualoremin.barrios@fujitsu.com</t>
  </si>
  <si>
    <t>Castillo, Rey Mark</t>
  </si>
  <si>
    <t>reymark.castillo@fujitsu.com</t>
  </si>
  <si>
    <t>Balancio, Nikki</t>
  </si>
  <si>
    <t>nikki.balancio@fujitsu.com</t>
  </si>
  <si>
    <t>Abayon, Kenneth</t>
  </si>
  <si>
    <t>kenneth.abayon@fujitsu.com</t>
  </si>
  <si>
    <t>Ting, John Maui</t>
  </si>
  <si>
    <t>johnmaui.ting@fujitsu.com</t>
  </si>
  <si>
    <t>Libuna, Christian</t>
  </si>
  <si>
    <t>christian.libuna@fujitsu.com</t>
  </si>
  <si>
    <t>Roc, Feliciano III</t>
  </si>
  <si>
    <t>felicianoiii.roc@fujitsu.com</t>
  </si>
  <si>
    <t>Fabila, John Vincent</t>
  </si>
  <si>
    <t>johnvincent.fabila@fujitsu.com</t>
  </si>
  <si>
    <t>Sasan, Rolan Raphael</t>
  </si>
  <si>
    <t>rolanraphael.sasan@fujitsu.com</t>
  </si>
  <si>
    <t>Lecciones, Ren Dave</t>
  </si>
  <si>
    <t>rendave.lecciones@fujitsu.com</t>
  </si>
  <si>
    <t>Arabia, Jane Hazel</t>
  </si>
  <si>
    <t>janehazel.arabia@fujitsu.com</t>
  </si>
  <si>
    <t>Peñaranda, John Peter</t>
  </si>
  <si>
    <t>johnpeter.penaranda@fujitsu.com</t>
  </si>
  <si>
    <t>Jumao-as, Shyra Dey</t>
  </si>
  <si>
    <t>shyradey.jumaoas@fujitsu.com</t>
  </si>
  <si>
    <t>Lunzaga, Jayson</t>
  </si>
  <si>
    <t>jayson.lunzaga@fujitsu.com</t>
  </si>
  <si>
    <t>Bejar, Emil Jon</t>
  </si>
  <si>
    <t>emiljon.bejar@fujitsu.com</t>
  </si>
  <si>
    <t>Biz, Marimar</t>
  </si>
  <si>
    <t>biz.marimar@fujitsu.com</t>
  </si>
  <si>
    <t>Cordero, Remon Jay</t>
  </si>
  <si>
    <t>remonjay.cordero@fujitsu.com</t>
  </si>
  <si>
    <t>Tapel, Bryan</t>
  </si>
  <si>
    <t>tapel.bryan@fujitsu.com</t>
  </si>
  <si>
    <t>Caraquel, En Marie</t>
  </si>
  <si>
    <t>enmarie.caraquel@fujitsu.com</t>
  </si>
  <si>
    <t>Casilang, Carl Osbert</t>
  </si>
  <si>
    <t>carlosbert.casilang@fujitsu.com</t>
  </si>
  <si>
    <t>Seño, Paul John</t>
  </si>
  <si>
    <t>pauljohn.seno@fujitsu.com</t>
  </si>
  <si>
    <t>Biazon, Danicelle</t>
  </si>
  <si>
    <t>danicelle.biazon@fujitsu.com</t>
  </si>
  <si>
    <t>Damasco, Ryan</t>
  </si>
  <si>
    <t>ryan.damasco@fujitsu.com</t>
  </si>
  <si>
    <t>Fabricante, Rhyan</t>
  </si>
  <si>
    <t>rhyan.fabricante@fujitsu.com</t>
  </si>
  <si>
    <t>Malana, Jose Miguel</t>
  </si>
  <si>
    <t>josemiguel.malana@fujitsu.com</t>
  </si>
  <si>
    <t>Padilla, Ren Ren</t>
  </si>
  <si>
    <t>renren.padilla@fujitsu.com</t>
  </si>
  <si>
    <t>Padillo, Melgail</t>
  </si>
  <si>
    <t>melgail.padillo@fujitsu.com</t>
  </si>
  <si>
    <t>Rabe, Kathleen</t>
  </si>
  <si>
    <t>kathleen.rabe@fujitsu.com</t>
  </si>
  <si>
    <t>Bocala, Jan Meinarj Sean</t>
  </si>
  <si>
    <t>janmeinarjsean.bocala@fujitsu.com</t>
  </si>
  <si>
    <t>Loyogoy, Jayvee</t>
  </si>
  <si>
    <t>jayvee.loyogoy@fujitsu.com</t>
  </si>
  <si>
    <t>Baclayon , Ian Victor</t>
  </si>
  <si>
    <t>ianvictor.baclayon@fujitsu.com</t>
  </si>
  <si>
    <t>Navarro, Matthew Brian</t>
  </si>
  <si>
    <t>matthewbrian.navarro@fujitsu.com</t>
  </si>
  <si>
    <t>Merino, Henrito Jr.</t>
  </si>
  <si>
    <t>henritojr.merino@fujitsu.com</t>
  </si>
  <si>
    <t>Orasa, Mark Jhamel</t>
  </si>
  <si>
    <t>markjhamel.orasa@fujitsu.com</t>
  </si>
  <si>
    <t>Mercado, Rizken Clark Christian</t>
  </si>
  <si>
    <t>rizkenclarkchristian.mercado@fujitsu.com</t>
  </si>
  <si>
    <t>Suyat, Ruth</t>
  </si>
  <si>
    <t>ruth.suyat@fujitsu.com</t>
  </si>
  <si>
    <t>Ocampo, Ryan</t>
  </si>
  <si>
    <t>ryan.ocampo@fujitsu.com</t>
  </si>
  <si>
    <t>Estillero, Alvin</t>
  </si>
  <si>
    <t>alvin.estillero@fujitsu.com</t>
  </si>
  <si>
    <t>Conde, Raymond</t>
  </si>
  <si>
    <t>raymond.conde@fujitsu.com</t>
  </si>
  <si>
    <t>Dela Cruz, Thom Joseph</t>
  </si>
  <si>
    <t>thomjoseph.delacruz@fujitsu.com</t>
  </si>
  <si>
    <t>Tasic, Armand Klair</t>
  </si>
  <si>
    <t>armandklair.tasic@fujitsu.com</t>
  </si>
  <si>
    <t>Canda, James Lyle</t>
  </si>
  <si>
    <t>jameslyle.canda@fujitsu.com</t>
  </si>
  <si>
    <t>Dominguez, Randy</t>
  </si>
  <si>
    <t>randy.dominguez@fujitsu.com</t>
  </si>
  <si>
    <t>Ilaw, Matthias</t>
  </si>
  <si>
    <t>matthias.ilaw@fujitsu.com</t>
  </si>
  <si>
    <t>Piamonte, Sammy</t>
  </si>
  <si>
    <t>sammy.piamonte@fujitsu.com</t>
  </si>
  <si>
    <t>Flores, Bryant Karl</t>
  </si>
  <si>
    <t>bryantkarl.flores@fujitsu.com</t>
  </si>
  <si>
    <t>Cruz, Rolando Jr.</t>
  </si>
  <si>
    <t>rolando.cruzjr@fujitsu.com</t>
  </si>
  <si>
    <t>Gomez, Shawn Paul Dominic</t>
  </si>
  <si>
    <t>shawnpauldominic.gomez@fujitsu.com</t>
  </si>
  <si>
    <t>Calala, Nasser Jr.</t>
  </si>
  <si>
    <t>nasserjr.calala@fujitsu.com</t>
  </si>
  <si>
    <t>Junasa, Ricky</t>
  </si>
  <si>
    <t>ricky.junasa@fujitsu.com</t>
  </si>
  <si>
    <t>Estrella, Anna Maria</t>
  </si>
  <si>
    <t>annamaria.estrella@fujitsu.com</t>
  </si>
  <si>
    <t>Lotivio, Ramon Lorenzo</t>
  </si>
  <si>
    <t>ramonlorenzo.lotivio@fujitsu.com</t>
  </si>
  <si>
    <t>Rivera, Sean Michael</t>
  </si>
  <si>
    <t>seanmichael.rivera@fujitsu.com</t>
  </si>
  <si>
    <t>Miro, Carl Water</t>
  </si>
  <si>
    <t>carlwalter.miro@fujitsu.com</t>
  </si>
  <si>
    <t>Abu, Patrick Emmanuel</t>
  </si>
  <si>
    <t>patrick.abu@fujitsu.com</t>
  </si>
  <si>
    <t>Padilla, Trisha Ludy Mae</t>
  </si>
  <si>
    <t>padilla.trishaludymae@fujitsu.com</t>
  </si>
  <si>
    <t>Hilario, John Rey</t>
  </si>
  <si>
    <t>johnrey.hilario@fujitsu.com</t>
  </si>
  <si>
    <t>Alayan, John</t>
  </si>
  <si>
    <t>john.alayan@fujitsu.com</t>
  </si>
  <si>
    <t>Salazar, Andrew Niño Elmer</t>
  </si>
  <si>
    <t>andrewninoelmer.salazar@fujitsu.com</t>
  </si>
  <si>
    <t>Tabaco, John Kevin</t>
  </si>
  <si>
    <t>johnkevin.tabaco@fujitsu.com</t>
  </si>
  <si>
    <t>Aurelio, Mary Grace</t>
  </si>
  <si>
    <t>marygrace.aurelio@fujitsu.com</t>
  </si>
  <si>
    <t>Lomboy, Jeathro</t>
  </si>
  <si>
    <t>jeathro.lomboy@fujitsu.com</t>
  </si>
  <si>
    <t>Bernas, Edwardson</t>
  </si>
  <si>
    <t>edwardson.bernas@fujitsu.com</t>
  </si>
  <si>
    <t>Jacinto, Elidanill June</t>
  </si>
  <si>
    <t>elidanilljune.jacinto@fujitsu.com</t>
  </si>
  <si>
    <t>Mapalad, Vincent</t>
  </si>
  <si>
    <t>vincent.mapalad@fujitsu.com</t>
  </si>
  <si>
    <t>Gal, Clydean</t>
  </si>
  <si>
    <t>clydean.gal@fujitsu.com</t>
  </si>
  <si>
    <t>Donato, Janssen</t>
  </si>
  <si>
    <t>janssen.donato@fujitsu.com</t>
  </si>
  <si>
    <t>Plaza, John Carlo</t>
  </si>
  <si>
    <t>johncarlo.plaza@fujitsu.com</t>
  </si>
  <si>
    <t>Andaya, William Harry</t>
  </si>
  <si>
    <t>williamharry.andaya@fujitsu.com</t>
  </si>
  <si>
    <t>Belarga, Krezia Marie</t>
  </si>
  <si>
    <t>kreziamarie.belarga@fujitsu.com</t>
  </si>
  <si>
    <t>Galacio, Francis</t>
  </si>
  <si>
    <t>francis.galacio@fujitsu.com</t>
  </si>
  <si>
    <t>Hermono, John Mark</t>
  </si>
  <si>
    <t>johnmark.hermono@fujitsu.com</t>
  </si>
  <si>
    <t>Marzo, Jaymelted</t>
  </si>
  <si>
    <t>jaymelted.marzo@fujitsu.com</t>
  </si>
  <si>
    <t>Mendoza, John Clark</t>
  </si>
  <si>
    <t>johnclark.mendoza@fujitsu.com</t>
  </si>
  <si>
    <t>Pintor, Marvin</t>
  </si>
  <si>
    <t>marvin.pintor@fujitsu.com</t>
  </si>
  <si>
    <t>Marzan, Albert George</t>
  </si>
  <si>
    <t>albertgeorge.marzan@fujitsu.com</t>
  </si>
  <si>
    <t>Aquino, John Louis</t>
  </si>
  <si>
    <t>johnlouis.aquino@fujitsu.com</t>
  </si>
  <si>
    <t>Torres, Julius Marion</t>
  </si>
  <si>
    <t>juliusmarion.torres@fujitsu.com</t>
  </si>
  <si>
    <t>Maramara, Flos Carmelli</t>
  </si>
  <si>
    <t>floscarmelli.maramara@fujitsu.com</t>
  </si>
  <si>
    <t>De Villa, John Joseph</t>
  </si>
  <si>
    <t>johnjoseph.devilla@fujitsu.com</t>
  </si>
  <si>
    <t>Menardo, Loue</t>
  </si>
  <si>
    <t>loue.menardo@fujitsu.com</t>
  </si>
  <si>
    <t>Alcantara, Ma. Lygrezenne</t>
  </si>
  <si>
    <t>malygrezenne.alcantara@fujitsu.com</t>
  </si>
  <si>
    <t>Garingan, Jonathan</t>
  </si>
  <si>
    <t>jonathan.garingan@fujitsu.com</t>
  </si>
  <si>
    <t>Lee, Sheryl</t>
  </si>
  <si>
    <t>sheryl.lee@fujitsu.com</t>
  </si>
  <si>
    <t>Amer, Zainiarif</t>
  </si>
  <si>
    <t>zainiarif.amer@fujitsu.com</t>
  </si>
  <si>
    <t>Lacson, Larryson</t>
  </si>
  <si>
    <t>larryson.lacson@fujitsu.com</t>
  </si>
  <si>
    <t>Buñag, Myther Cedrik</t>
  </si>
  <si>
    <t>mythercedrik.bunag@fujitsu.com</t>
  </si>
  <si>
    <t>Lerida, Christian Vincent</t>
  </si>
  <si>
    <t>christianvincent.lerida@fujitsu.com</t>
  </si>
  <si>
    <t>Cañete, Keinth</t>
  </si>
  <si>
    <t>keinth.canete@fujitsu.com</t>
  </si>
  <si>
    <t>Reandelar, Gil</t>
  </si>
  <si>
    <t>gil.reandelar@fujitsu.com</t>
  </si>
  <si>
    <t>Gido, Art</t>
  </si>
  <si>
    <t>art.gido@fujitsu.com</t>
  </si>
  <si>
    <t>Empredo, Jhon Paul</t>
  </si>
  <si>
    <t>jhonpaul.empredo@fujitsu.com</t>
  </si>
  <si>
    <t>De leon, Leary James</t>
  </si>
  <si>
    <t>learyjames.deleon@fujitsu.com</t>
  </si>
  <si>
    <t>Valenzuela, Paul Ivan</t>
  </si>
  <si>
    <t>paulivan.valenzuela@fujitsu.com</t>
  </si>
  <si>
    <t>Suba, Aubrey</t>
  </si>
  <si>
    <t>aubey.suba@fujitsu.com</t>
  </si>
  <si>
    <t>Alcantara, Aldrin Joseph</t>
  </si>
  <si>
    <t>aldrinjoseph.alcantara@fujitsu.com</t>
  </si>
  <si>
    <t>Ferrer, John Christian</t>
  </si>
  <si>
    <t>Viernes, Philip Gary</t>
  </si>
  <si>
    <t>Abolucion, Oliver</t>
  </si>
  <si>
    <t>Castillo, Justine Lloyd</t>
  </si>
  <si>
    <t>Cuba, Carl Angelo</t>
  </si>
  <si>
    <t>Lontoc, Bryan John</t>
  </si>
  <si>
    <t>Sampayan, Gerald</t>
  </si>
  <si>
    <t>Sotto,  Crisnor Joy</t>
  </si>
  <si>
    <t>Medrano, Brix</t>
  </si>
  <si>
    <t>Bautista, Al John</t>
  </si>
  <si>
    <t>Aclan, Alejo Len</t>
  </si>
  <si>
    <t>Herbon, Al Kenneth</t>
  </si>
  <si>
    <t>Anabo, Alyssa Mae</t>
  </si>
  <si>
    <t>Nocos, Dan Joseph</t>
  </si>
  <si>
    <t>Aceret, Kenneth</t>
  </si>
  <si>
    <t>Kennedy, Dwanee Adrienne</t>
  </si>
  <si>
    <t>Activity Name</t>
  </si>
  <si>
    <t>Minutes</t>
  </si>
  <si>
    <t>Cell</t>
  </si>
  <si>
    <t>Wildlife Part 1</t>
  </si>
  <si>
    <t>G</t>
  </si>
  <si>
    <t>Wildlife Part 2</t>
  </si>
  <si>
    <t>H</t>
  </si>
  <si>
    <t>Jackbox</t>
  </si>
  <si>
    <t>I</t>
  </si>
  <si>
    <t>Love Radio</t>
  </si>
  <si>
    <t>J</t>
  </si>
  <si>
    <t>Cooking Session</t>
  </si>
  <si>
    <t>K</t>
  </si>
  <si>
    <t>TechTok 0304</t>
  </si>
  <si>
    <t>L</t>
  </si>
  <si>
    <t>TechTok 0311</t>
  </si>
  <si>
    <t>M</t>
  </si>
  <si>
    <t>TechTok 0318</t>
  </si>
  <si>
    <t>N</t>
  </si>
  <si>
    <t>TechTok 0325</t>
  </si>
  <si>
    <t>O</t>
  </si>
  <si>
    <t>Updated as of Dec 2021</t>
  </si>
  <si>
    <t>Lapira, Clynis</t>
  </si>
  <si>
    <t>Velez, Ihna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</si>
</sst>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color rgb="FF7030A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8"/>
      <name val="Calibri Light"/>
      <family val="2"/>
      <scheme val="major"/>
    </font>
  </fonts>
  <fills count="1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7A1F9"/>
        <bgColor indexed="64"/>
      </patternFill>
    </fill>
    <fill>
      <patternFill patternType="solid">
        <fgColor rgb="FFEED8F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CD0D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6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61">
    <xf numFmtId="0" fontId="0" fillId="0" borderId="0" xfId="0"/>
    <xf numFmtId="0" fontId="4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0" fillId="0" borderId="0" xfId="0" applyAlignment="1">
      <alignment horizontal="center" vertical="center"/>
    </xf>
    <xf numFmtId="0" fontId="11" fillId="7" borderId="1" xfId="0" applyFont="1" applyFill="1" applyBorder="1" applyAlignment="1" applyProtection="1">
      <alignment horizontal="center" vertical="center"/>
      <protection locked="0"/>
    </xf>
    <xf numFmtId="0" fontId="3" fillId="7" borderId="1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vertical="center"/>
      <protection locked="0"/>
    </xf>
    <xf numFmtId="0" fontId="10" fillId="5" borderId="1" xfId="0" applyFont="1" applyFill="1" applyBorder="1" applyAlignment="1" applyProtection="1">
      <alignment horizontal="center" vertical="center" wrapText="1"/>
      <protection locked="0"/>
    </xf>
    <xf numFmtId="0" fontId="16" fillId="10" borderId="1" xfId="0" applyFont="1" applyFill="1" applyBorder="1" applyAlignment="1" applyProtection="1">
      <alignment horizontal="center" vertical="center"/>
      <protection locked="0"/>
    </xf>
    <xf numFmtId="0" fontId="3" fillId="10" borderId="1" xfId="0" applyFont="1" applyFill="1" applyBorder="1" applyAlignment="1" applyProtection="1">
      <alignment horizontal="center" vertical="center" wrapText="1"/>
      <protection locked="0"/>
    </xf>
    <xf numFmtId="0" fontId="12" fillId="11" borderId="1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2" fontId="0" fillId="11" borderId="1" xfId="0" applyNumberFormat="1" applyFill="1" applyBorder="1" applyAlignment="1" applyProtection="1">
      <alignment horizontal="center" vertical="center"/>
      <protection locked="0"/>
    </xf>
    <xf numFmtId="0" fontId="13" fillId="11" borderId="1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14" fillId="11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15" fillId="11" borderId="1" xfId="0" applyFont="1" applyFill="1" applyBorder="1" applyAlignment="1" applyProtection="1">
      <alignment horizontal="center" vertical="center"/>
      <protection locked="0"/>
    </xf>
    <xf numFmtId="164" fontId="0" fillId="11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10" borderId="4" xfId="0" applyFont="1" applyFill="1" applyBorder="1" applyAlignment="1" applyProtection="1">
      <alignment horizontal="center"/>
      <protection locked="0"/>
    </xf>
    <xf numFmtId="0" fontId="3" fillId="12" borderId="1" xfId="0" applyFont="1" applyFill="1" applyBorder="1" applyAlignment="1" applyProtection="1">
      <alignment horizontal="center" vertical="center" wrapText="1"/>
      <protection locked="0"/>
    </xf>
    <xf numFmtId="0" fontId="0" fillId="13" borderId="1" xfId="0" applyFill="1" applyBorder="1" applyAlignment="1" applyProtection="1">
      <alignment horizontal="left" vertical="center"/>
      <protection locked="0"/>
    </xf>
    <xf numFmtId="2" fontId="0" fillId="13" borderId="1" xfId="0" applyNumberFormat="1" applyFill="1" applyBorder="1" applyAlignment="1" applyProtection="1">
      <alignment horizontal="center" vertical="center"/>
      <protection locked="0"/>
    </xf>
    <xf numFmtId="9" fontId="0" fillId="13" borderId="1" xfId="1" applyFont="1" applyFill="1" applyBorder="1" applyAlignment="1" applyProtection="1">
      <alignment horizontal="center" vertical="center"/>
      <protection locked="0"/>
    </xf>
    <xf numFmtId="0" fontId="0" fillId="13" borderId="1" xfId="1" applyNumberFormat="1" applyFont="1" applyFill="1" applyBorder="1" applyAlignment="1" applyProtection="1">
      <alignment horizontal="center" vertical="center"/>
      <protection locked="0"/>
    </xf>
    <xf numFmtId="0" fontId="8" fillId="12" borderId="1" xfId="0" applyFont="1" applyFill="1" applyBorder="1" applyAlignment="1" applyProtection="1">
      <alignment horizontal="center" vertical="center"/>
      <protection locked="0"/>
    </xf>
    <xf numFmtId="2" fontId="10" fillId="12" borderId="1" xfId="0" applyNumberFormat="1" applyFont="1" applyFill="1" applyBorder="1" applyAlignment="1" applyProtection="1">
      <alignment horizontal="center" vertical="center"/>
      <protection locked="0"/>
    </xf>
    <xf numFmtId="9" fontId="10" fillId="12" borderId="1" xfId="1" applyFont="1" applyFill="1" applyBorder="1" applyAlignment="1" applyProtection="1">
      <alignment horizontal="center" vertical="center"/>
      <protection locked="0"/>
    </xf>
    <xf numFmtId="0" fontId="0" fillId="11" borderId="1" xfId="0" quotePrefix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2" fillId="0" borderId="0" xfId="0" applyFont="1" applyProtection="1">
      <protection locked="0"/>
    </xf>
    <xf numFmtId="0" fontId="10" fillId="12" borderId="1" xfId="1" applyNumberFormat="1" applyFont="1" applyFill="1" applyBorder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/>
      <protection locked="0"/>
    </xf>
    <xf numFmtId="2" fontId="0" fillId="8" borderId="1" xfId="0" applyNumberFormat="1" applyFill="1" applyBorder="1" applyAlignment="1" applyProtection="1">
      <alignment horizontal="center"/>
      <protection locked="0"/>
    </xf>
    <xf numFmtId="2" fontId="3" fillId="4" borderId="1" xfId="0" applyNumberFormat="1" applyFont="1" applyFill="1" applyBorder="1" applyAlignment="1" applyProtection="1">
      <alignment horizontal="center" vertical="center"/>
      <protection locked="0"/>
    </xf>
    <xf numFmtId="1" fontId="0" fillId="13" borderId="1" xfId="0" applyNumberFormat="1" applyFill="1" applyBorder="1" applyAlignment="1" applyProtection="1">
      <alignment horizontal="center" vertical="center"/>
      <protection locked="0"/>
    </xf>
    <xf numFmtId="1" fontId="10" fillId="1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15" borderId="1" xfId="0" applyFill="1" applyBorder="1" applyAlignment="1">
      <alignment horizontal="center"/>
    </xf>
    <xf numFmtId="0" fontId="0" fillId="9" borderId="0" xfId="0" applyFill="1"/>
    <xf numFmtId="0" fontId="19" fillId="0" borderId="0" xfId="0" applyFont="1" applyProtection="1">
      <protection locked="0"/>
    </xf>
    <xf numFmtId="0" fontId="0" fillId="15" borderId="6" xfId="0" applyFill="1" applyBorder="1" applyAlignment="1">
      <alignment horizontal="center"/>
    </xf>
    <xf numFmtId="0" fontId="0" fillId="0" borderId="1" xfId="0" applyBorder="1"/>
    <xf numFmtId="0" fontId="4" fillId="16" borderId="1" xfId="0" applyFont="1" applyFill="1" applyBorder="1" applyAlignment="1">
      <alignment horizontal="center" vertical="center" wrapText="1"/>
    </xf>
    <xf numFmtId="0" fontId="4" fillId="14" borderId="1" xfId="0" applyFont="1" applyFill="1" applyBorder="1" applyAlignment="1">
      <alignment horizontal="center" vertical="center" wrapText="1"/>
    </xf>
    <xf numFmtId="2" fontId="8" fillId="10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23" fillId="16" borderId="1" xfId="0" applyFont="1" applyFill="1" applyBorder="1" applyAlignment="1">
      <alignment horizontal="center" vertical="center" wrapText="1"/>
    </xf>
    <xf numFmtId="0" fontId="23" fillId="1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10" fillId="17" borderId="1" xfId="0" applyFont="1" applyFill="1" applyBorder="1" applyAlignment="1">
      <alignment horizontal="center"/>
    </xf>
    <xf numFmtId="164" fontId="10" fillId="17" borderId="1" xfId="0" applyNumberFormat="1" applyFont="1" applyFill="1" applyBorder="1" applyAlignment="1">
      <alignment horizontal="center"/>
    </xf>
    <xf numFmtId="0" fontId="9" fillId="6" borderId="2" xfId="0" applyFont="1" applyFill="1" applyBorder="1" applyAlignment="1" applyProtection="1">
      <alignment horizontal="center" vertical="center"/>
      <protection locked="0"/>
    </xf>
    <xf numFmtId="0" fontId="9" fillId="6" borderId="3" xfId="0" applyFont="1" applyFill="1" applyBorder="1" applyAlignment="1" applyProtection="1">
      <alignment horizontal="center" vertical="center"/>
      <protection locked="0"/>
    </xf>
  </cellXfs>
  <cellStyles count="4">
    <cellStyle name="Hyperlink 2 2" xfId="3" xr:uid="{00000000-0005-0000-0000-000000000000}"/>
    <cellStyle name="Normal" xfId="0" builtinId="0"/>
    <cellStyle name="Normal 2" xfId="2" xr:uid="{00000000-0005-0000-0000-000002000000}"/>
    <cellStyle name="Percent" xfId="1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4343"/>
      <color rgb="FFFF5757"/>
      <color rgb="FFB8B400"/>
      <color rgb="FFFF0066"/>
      <color rgb="FFEED8FC"/>
      <color rgb="FFD7A1F9"/>
      <color rgb="FFCF8CF8"/>
      <color rgb="FFCE74EA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3"/>
  <sheetViews>
    <sheetView workbookViewId="0">
      <selection activeCell="F19" sqref="F19"/>
    </sheetView>
  </sheetViews>
  <sheetFormatPr defaultColWidth="8.85546875" defaultRowHeight="15" x14ac:dyDescent="0.25"/>
  <cols>
    <col min="1" max="1" width="22.5703125" style="8" customWidth="1"/>
    <col min="2" max="2" width="14.28515625" style="8" customWidth="1"/>
    <col min="3" max="3" width="11.85546875" style="8" customWidth="1"/>
    <col min="4" max="4" width="14.7109375" style="8" customWidth="1"/>
    <col min="5" max="5" width="13.42578125" style="8" customWidth="1"/>
    <col min="6" max="6" width="11.85546875" style="8" customWidth="1"/>
    <col min="7" max="7" width="12" style="8" customWidth="1"/>
    <col min="8" max="16384" width="8.85546875" style="8"/>
  </cols>
  <sheetData>
    <row r="1" spans="1:6" ht="34.9" customHeight="1" x14ac:dyDescent="0.25">
      <c r="A1" s="6" t="s">
        <v>0</v>
      </c>
      <c r="B1" s="54" t="s">
        <v>1</v>
      </c>
      <c r="C1" s="54" t="s">
        <v>2</v>
      </c>
      <c r="D1" s="55" t="s">
        <v>3</v>
      </c>
      <c r="E1" s="55" t="s">
        <v>4</v>
      </c>
      <c r="F1" s="55" t="s">
        <v>5</v>
      </c>
    </row>
    <row r="2" spans="1:6" ht="16.899999999999999" customHeight="1" x14ac:dyDescent="0.25">
      <c r="A2" s="9" t="s">
        <v>6</v>
      </c>
      <c r="B2" s="39">
        <f>COUNTIFS('Member List'!$D$2:$D$1786, "JDU", 'Member List'!H$2:H$1786, "&gt;0" )</f>
        <v>180</v>
      </c>
      <c r="C2" s="39">
        <f>COUNTIFS('Member List'!$D$2:$D$1786, "JDU", 'Member List'!I$2:I$1786, "&gt;0" )</f>
        <v>151</v>
      </c>
      <c r="D2" s="39">
        <f>COUNTIFS('Member List'!$D$2:$D$1786, "JDU", 'Member List'!J$2:J$1786, "&gt;0" )</f>
        <v>64</v>
      </c>
      <c r="E2" s="39">
        <f>COUNTIFS('Member List'!$D$2:$D$1786, "JDU", 'Member List'!K$2:K$1786, "&gt;0" )</f>
        <v>163</v>
      </c>
      <c r="F2" s="39">
        <f>COUNTIFS('Member List'!$D$2:$D$1786, "JDU", 'Member List'!L$2:L$1786, "&gt;0" )</f>
        <v>96</v>
      </c>
    </row>
    <row r="3" spans="1:6" ht="16.899999999999999" customHeight="1" x14ac:dyDescent="0.25">
      <c r="A3" s="9" t="s">
        <v>7</v>
      </c>
      <c r="B3" s="39">
        <f>COUNTIFS('Member List'!$D$2:$D$1786, "Apps Dev", 'Member List'!H$2:H$1786, "&gt;0" )</f>
        <v>5</v>
      </c>
      <c r="C3" s="39">
        <f>COUNTIFS('Member List'!$D$2:$D$1786, "Apps Dev", 'Member List'!I$2:I$1786, "&gt;0" )</f>
        <v>2</v>
      </c>
      <c r="D3" s="39">
        <f>COUNTIFS('Member List'!$D$2:$D$1786, "Apps Dev", 'Member List'!J$2:J$1786, "&gt;0" )</f>
        <v>0</v>
      </c>
      <c r="E3" s="39">
        <f>COUNTIFS('Member List'!$D$2:$D$1786, "Apps Dev", 'Member List'!K$2:K$1786, "&gt;0" )</f>
        <v>7</v>
      </c>
      <c r="F3" s="39">
        <f>COUNTIFS('Member List'!$D$2:$D$1786, "Apps Dev", 'Member List'!L$2:L$1786, "&gt;0" )</f>
        <v>2</v>
      </c>
    </row>
    <row r="4" spans="1:6" ht="16.899999999999999" customHeight="1" x14ac:dyDescent="0.25">
      <c r="A4" s="9" t="s">
        <v>8</v>
      </c>
      <c r="B4" s="39">
        <f>COUNTIFS('Member List'!$D$2:$D$1786, "BPS", 'Member List'!H$2:H$1786, "&gt;0" )</f>
        <v>4</v>
      </c>
      <c r="C4" s="39">
        <f>COUNTIFS('Member List'!$D$2:$D$1786, "BPS", 'Member List'!I$2:I$1786, "&gt;0" )</f>
        <v>4</v>
      </c>
      <c r="D4" s="39">
        <f>COUNTIFS('Member List'!$D$2:$D$1786, "BPS", 'Member List'!J$2:J$1786, "&gt;0" )</f>
        <v>0</v>
      </c>
      <c r="E4" s="39">
        <f>COUNTIFS('Member List'!$D$2:$D$1786, "BPS", 'Member List'!K$2:K$1786, "&gt;0" )</f>
        <v>3</v>
      </c>
      <c r="F4" s="39">
        <f>COUNTIFS('Member List'!$D$2:$D$1786, "BPS", 'Member List'!L$2:L$1786, "&gt;0" )</f>
        <v>1</v>
      </c>
    </row>
    <row r="5" spans="1:6" ht="21" customHeight="1" x14ac:dyDescent="0.25">
      <c r="A5" s="7" t="s">
        <v>9</v>
      </c>
      <c r="B5" s="7">
        <f>SUM(B$2:B$4)</f>
        <v>189</v>
      </c>
      <c r="C5" s="7">
        <f t="shared" ref="C5:F5" si="0">SUM(C$2:C$4)</f>
        <v>157</v>
      </c>
      <c r="D5" s="7">
        <f t="shared" si="0"/>
        <v>64</v>
      </c>
      <c r="E5" s="7">
        <f t="shared" si="0"/>
        <v>173</v>
      </c>
      <c r="F5" s="7">
        <f t="shared" si="0"/>
        <v>99</v>
      </c>
    </row>
    <row r="6" spans="1:6" x14ac:dyDescent="0.25">
      <c r="A6" s="47">
        <f ca="1">ROW(OFFSET('Member List'!B1,COUNTA('Member List'!B:B)-1,0))</f>
        <v>1786</v>
      </c>
      <c r="B6" s="37" t="s">
        <v>10</v>
      </c>
      <c r="C6"/>
      <c r="D6"/>
    </row>
    <row r="7" spans="1:6" x14ac:dyDescent="0.25">
      <c r="C7"/>
      <c r="D7"/>
    </row>
    <row r="8" spans="1:6" ht="45" customHeight="1" x14ac:dyDescent="0.25">
      <c r="A8" s="10" t="s">
        <v>11</v>
      </c>
      <c r="B8" s="54" t="s">
        <v>1</v>
      </c>
      <c r="C8" s="54" t="s">
        <v>2</v>
      </c>
      <c r="D8" s="55" t="s">
        <v>3</v>
      </c>
      <c r="E8" s="55" t="s">
        <v>4</v>
      </c>
      <c r="F8" s="55" t="s">
        <v>5</v>
      </c>
    </row>
    <row r="9" spans="1:6" ht="16.899999999999999" customHeight="1" x14ac:dyDescent="0.25">
      <c r="A9" s="12" t="s">
        <v>6</v>
      </c>
      <c r="B9" s="40">
        <f>SUMIF('Member List'!$D$2:$D$1786, "JDU", 'Member List'!H$2:H$1786)/60</f>
        <v>270</v>
      </c>
      <c r="C9" s="40">
        <f>SUMIF('Member List'!$D$2:$D$1786, "JDU", 'Member List'!I$2:I$1786)/60</f>
        <v>162.41666666666666</v>
      </c>
      <c r="D9" s="40">
        <f>SUMIF('Member List'!$D$2:$D$1786, "JDU", 'Member List'!J$2:J$1786)/60</f>
        <v>64</v>
      </c>
      <c r="E9" s="40">
        <f>SUMIF('Member List'!$D$2:$D$1786, "JDU", 'Member List'!K$2:K$1786)/60</f>
        <v>244.5</v>
      </c>
      <c r="F9" s="40">
        <f>SUMIF('Member List'!$D$2:$D$1786, "JDU", 'Member List'!L$2:L$1786)/60</f>
        <v>96</v>
      </c>
    </row>
    <row r="10" spans="1:6" ht="16.899999999999999" customHeight="1" x14ac:dyDescent="0.25">
      <c r="A10" s="12" t="s">
        <v>7</v>
      </c>
      <c r="B10" s="40">
        <f>SUMIF('Member List'!$D$2:$D$1786, "Apps Dev", 'Member List'!H$2:H$1786)/60</f>
        <v>7.5</v>
      </c>
      <c r="C10" s="40">
        <f>SUMIF('Member List'!$D$2:$D$1786, "Apps Dev", 'Member List'!I$2:I$1786)/60</f>
        <v>2.3333333333333335</v>
      </c>
      <c r="D10" s="40">
        <f>SUMIF('Member List'!$D$2:$D$1786, "Apps Dev", 'Member List'!J$2:J$1786)/60</f>
        <v>0</v>
      </c>
      <c r="E10" s="40">
        <f>SUMIF('Member List'!$D$2:$D$1786, "Apps Dev", 'Member List'!K$2:K$1786)/60</f>
        <v>10.5</v>
      </c>
      <c r="F10" s="40">
        <f>SUMIF('Member List'!$D$2:$D$1786, "Apps Dev", 'Member List'!L$2:L$1786)/60</f>
        <v>2</v>
      </c>
    </row>
    <row r="11" spans="1:6" ht="16.899999999999999" customHeight="1" x14ac:dyDescent="0.25">
      <c r="A11" s="12" t="s">
        <v>8</v>
      </c>
      <c r="B11" s="40">
        <f>SUMIF('Member List'!$D$2:$D$1786, "BPS", 'Member List'!H$2:H$1786)/60</f>
        <v>6</v>
      </c>
      <c r="C11" s="40">
        <f>SUMIF('Member List'!$D$2:$D$1786, "BPS", 'Member List'!I$2:I$1786)/60</f>
        <v>4.1166666666666663</v>
      </c>
      <c r="D11" s="40">
        <f>SUMIF('Member List'!$D$2:$D$1786, "BPS", 'Member List'!J$2:J$1786)/60</f>
        <v>0</v>
      </c>
      <c r="E11" s="40">
        <f>SUMIF('Member List'!$D$2:$D$1786, "BPS", 'Member List'!K$2:K$1786)/60</f>
        <v>4.5</v>
      </c>
      <c r="F11" s="40">
        <f>SUMIF('Member List'!$D$2:$D$1786, "BPS", 'Member List'!L$2:L$1786)/60</f>
        <v>1</v>
      </c>
    </row>
    <row r="12" spans="1:6" ht="23.45" customHeight="1" x14ac:dyDescent="0.25">
      <c r="A12" s="11" t="s">
        <v>12</v>
      </c>
      <c r="B12" s="41">
        <f>SUM(B$9:B$11)</f>
        <v>283.5</v>
      </c>
      <c r="C12" s="41">
        <f t="shared" ref="C12:F12" si="1">SUM(C$9:C$11)</f>
        <v>168.86666666666667</v>
      </c>
      <c r="D12" s="41">
        <f t="shared" si="1"/>
        <v>64</v>
      </c>
      <c r="E12" s="41">
        <f t="shared" si="1"/>
        <v>259.5</v>
      </c>
      <c r="F12" s="41">
        <f t="shared" si="1"/>
        <v>99</v>
      </c>
    </row>
    <row r="13" spans="1:6" x14ac:dyDescent="0.25">
      <c r="B13" s="37" t="s">
        <v>10</v>
      </c>
    </row>
    <row r="15" spans="1:6" ht="31.5" x14ac:dyDescent="0.25">
      <c r="A15" s="13" t="s">
        <v>13</v>
      </c>
    </row>
    <row r="16" spans="1:6" ht="14.45" customHeight="1" x14ac:dyDescent="0.25">
      <c r="A16" s="59">
        <f>IFERROR(COUNTIFS( 'Count Managers'!B2:B68, "&gt;0" ), 0)</f>
        <v>12</v>
      </c>
    </row>
    <row r="17" spans="1:8" ht="14.45" customHeight="1" x14ac:dyDescent="0.25">
      <c r="A17" s="60"/>
    </row>
    <row r="20" spans="1:8" ht="60" x14ac:dyDescent="0.25">
      <c r="A20" s="14" t="s">
        <v>14</v>
      </c>
      <c r="B20" s="15" t="s">
        <v>15</v>
      </c>
      <c r="C20" s="15" t="s">
        <v>16</v>
      </c>
      <c r="D20" s="15" t="s">
        <v>17</v>
      </c>
      <c r="E20" s="15" t="s">
        <v>18</v>
      </c>
      <c r="F20" s="44"/>
      <c r="G20" s="44"/>
      <c r="H20" s="44"/>
    </row>
    <row r="21" spans="1:8" ht="16.899999999999999" customHeight="1" x14ac:dyDescent="0.25">
      <c r="A21" s="16" t="s">
        <v>19</v>
      </c>
      <c r="B21" s="35">
        <v>0.5</v>
      </c>
      <c r="C21" s="17" t="s">
        <v>20</v>
      </c>
      <c r="D21" s="17" t="s">
        <v>20</v>
      </c>
      <c r="E21" s="17" t="s">
        <v>20</v>
      </c>
    </row>
    <row r="22" spans="1:8" ht="16.899999999999999" customHeight="1" x14ac:dyDescent="0.25">
      <c r="A22" s="19" t="s">
        <v>21</v>
      </c>
      <c r="B22" s="36">
        <v>0.3</v>
      </c>
      <c r="C22" s="17" t="s">
        <v>20</v>
      </c>
      <c r="D22" s="18" t="s">
        <v>20</v>
      </c>
      <c r="E22" s="18" t="s">
        <v>20</v>
      </c>
    </row>
    <row r="23" spans="1:8" ht="16.899999999999999" customHeight="1" x14ac:dyDescent="0.25">
      <c r="A23" s="21" t="s">
        <v>22</v>
      </c>
      <c r="B23" s="36">
        <v>0.5</v>
      </c>
      <c r="C23" s="17">
        <f>SUM(B$5)</f>
        <v>189</v>
      </c>
      <c r="D23" s="18">
        <f>SUM(B12:C12)</f>
        <v>452.36666666666667</v>
      </c>
      <c r="E23" s="18">
        <f>D$23/$B$33</f>
        <v>0.25702651515151514</v>
      </c>
    </row>
    <row r="24" spans="1:8" ht="16.899999999999999" customHeight="1" x14ac:dyDescent="0.25">
      <c r="A24" s="22" t="s">
        <v>23</v>
      </c>
      <c r="B24" s="35">
        <v>1</v>
      </c>
      <c r="C24" s="17" t="s">
        <v>20</v>
      </c>
      <c r="D24" s="18" t="s">
        <v>20</v>
      </c>
      <c r="E24" s="18" t="s">
        <v>20</v>
      </c>
    </row>
    <row r="25" spans="1:8" ht="16.899999999999999" customHeight="1" thickBot="1" x14ac:dyDescent="0.3">
      <c r="A25" s="23" t="s">
        <v>24</v>
      </c>
      <c r="B25" s="36">
        <v>0.5</v>
      </c>
      <c r="C25" s="20">
        <f>SUM(C5:E5)</f>
        <v>394</v>
      </c>
      <c r="D25" s="24">
        <f>SUM(D12:F12)</f>
        <v>422.5</v>
      </c>
      <c r="E25" s="18">
        <f>D$25/$B$33</f>
        <v>0.24005681818181818</v>
      </c>
    </row>
    <row r="26" spans="1:8" ht="19.5" thickBot="1" x14ac:dyDescent="0.35">
      <c r="C26" s="25"/>
      <c r="D26" s="26" t="s">
        <v>25</v>
      </c>
      <c r="E26" s="52">
        <f>SUM($E$21:$E$25)</f>
        <v>0.49708333333333332</v>
      </c>
    </row>
    <row r="29" spans="1:8" ht="60" x14ac:dyDescent="0.25">
      <c r="A29" s="27" t="s">
        <v>26</v>
      </c>
      <c r="B29" s="27" t="s">
        <v>27</v>
      </c>
      <c r="C29" s="27" t="s">
        <v>28</v>
      </c>
      <c r="D29" s="27" t="s">
        <v>29</v>
      </c>
      <c r="E29" s="27" t="s">
        <v>30</v>
      </c>
      <c r="F29" s="27" t="s">
        <v>31</v>
      </c>
      <c r="G29" s="27" t="s">
        <v>32</v>
      </c>
    </row>
    <row r="30" spans="1:8" x14ac:dyDescent="0.25">
      <c r="A30" s="28" t="s">
        <v>6</v>
      </c>
      <c r="B30" s="31">
        <f>COUNTIF('Member List'!$D$2:$D$1786, "JDU" )</f>
        <v>1312</v>
      </c>
      <c r="C30" s="42">
        <f>COUNTIFS('Member List'!$D$2:$D$1786, "JDU", 'Member List'!F$2:F$1786, "&gt;0" )</f>
        <v>578</v>
      </c>
      <c r="D30" s="30">
        <f>C30/$B$33</f>
        <v>0.32840909090909093</v>
      </c>
      <c r="E30" s="30">
        <f>$C30/$B30</f>
        <v>0.44054878048780488</v>
      </c>
      <c r="F30" s="29">
        <f>SUM($B$9:J$9)</f>
        <v>836.91666666666663</v>
      </c>
      <c r="G30" s="29">
        <f>$F$30/$B$33</f>
        <v>0.47552083333333334</v>
      </c>
    </row>
    <row r="31" spans="1:8" x14ac:dyDescent="0.25">
      <c r="A31" s="28" t="s">
        <v>7</v>
      </c>
      <c r="B31" s="31">
        <f>COUNTIF('Member List'!$D$2:$D$1786, "Apps Dev" )</f>
        <v>390</v>
      </c>
      <c r="C31" s="42">
        <f>COUNTIFS('Member List'!$D$2:$D$1786, "Apps Dev", 'Member List'!F$2:F$1786, "&gt;0" )</f>
        <v>11</v>
      </c>
      <c r="D31" s="30">
        <f t="shared" ref="D31:D32" si="2">C31/$B$33</f>
        <v>6.2500000000000003E-3</v>
      </c>
      <c r="E31" s="30">
        <f t="shared" ref="E31:E32" si="3">$C31/$B31</f>
        <v>2.8205128205128206E-2</v>
      </c>
      <c r="F31" s="29">
        <f>SUM($B$10:J$10)</f>
        <v>22.333333333333336</v>
      </c>
      <c r="G31" s="29">
        <f>$F$31/$B$33</f>
        <v>1.2689393939393941E-2</v>
      </c>
    </row>
    <row r="32" spans="1:8" x14ac:dyDescent="0.25">
      <c r="A32" s="28" t="s">
        <v>8</v>
      </c>
      <c r="B32" s="31">
        <f>COUNTIF('Member List'!$D$2:$D$1786, "BPS" )</f>
        <v>58</v>
      </c>
      <c r="C32" s="42">
        <f>COUNTIFS('Member List'!$D$2:$D$1786, "BPS", 'Member List'!F$2:F$1786, "&gt;0" )</f>
        <v>7</v>
      </c>
      <c r="D32" s="30">
        <f t="shared" si="2"/>
        <v>3.9772727272727269E-3</v>
      </c>
      <c r="E32" s="30">
        <f t="shared" si="3"/>
        <v>0.1206896551724138</v>
      </c>
      <c r="F32" s="29">
        <f>SUM($B$11:J$11)</f>
        <v>15.616666666666667</v>
      </c>
      <c r="G32" s="29">
        <f>$F$32/$B$33</f>
        <v>8.8731060606060605E-3</v>
      </c>
    </row>
    <row r="33" spans="1:7" ht="18.75" x14ac:dyDescent="0.25">
      <c r="A33" s="32" t="s">
        <v>33</v>
      </c>
      <c r="B33" s="38">
        <f>SUM($B$30:$B$32)</f>
        <v>1760</v>
      </c>
      <c r="C33" s="43">
        <f>SUM($C$30:$C$32)</f>
        <v>596</v>
      </c>
      <c r="D33" s="34">
        <f>SUM($D$30:$D$32)</f>
        <v>0.33863636363636362</v>
      </c>
      <c r="E33" s="34">
        <f>SUM($E$30:$E$32)</f>
        <v>0.58944356386534691</v>
      </c>
      <c r="F33" s="33">
        <f>SUM($F$30:$F$32)</f>
        <v>874.86666666666667</v>
      </c>
      <c r="G33" s="33">
        <f>SUM($G$30:$G$32)</f>
        <v>0.49708333333333332</v>
      </c>
    </row>
  </sheetData>
  <sheetProtection autoFilter="0"/>
  <mergeCells count="1">
    <mergeCell ref="A16:A17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P1048548"/>
  <sheetViews>
    <sheetView tabSelected="1" zoomScale="85" zoomScaleNormal="85" workbookViewId="0">
      <pane xSplit="6" ySplit="1" topLeftCell="G485" activePane="bottomRight" state="frozen"/>
      <selection pane="topRight" activeCell="A16" sqref="A16:A17"/>
      <selection pane="bottomLeft" activeCell="A16" sqref="A16:A17"/>
      <selection pane="bottomRight" activeCell="G1" sqref="G1:P485"/>
    </sheetView>
  </sheetViews>
  <sheetFormatPr defaultRowHeight="15" x14ac:dyDescent="0.25"/>
  <cols>
    <col min="1" max="1" width="6.42578125" style="3" customWidth="1"/>
    <col min="2" max="2" width="29.42578125" bestFit="1" customWidth="1"/>
    <col min="3" max="3" width="29.5703125" customWidth="1"/>
    <col min="4" max="4" width="18" style="3" customWidth="1"/>
    <col min="5" max="5" width="18" hidden="1" customWidth="1"/>
    <col min="6" max="6" width="10.140625" style="3" hidden="1" customWidth="1"/>
    <col min="7" max="7" width="10.140625" style="3" customWidth="1"/>
    <col min="8" max="12" width="16.140625" style="3" customWidth="1"/>
    <col min="13" max="16" width="14.28515625" style="3" customWidth="1"/>
  </cols>
  <sheetData>
    <row r="1" spans="1:16" s="3" customFormat="1" ht="34.9" customHeight="1" x14ac:dyDescent="0.25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2" t="s">
        <v>39</v>
      </c>
      <c r="G1" s="2" t="s">
        <v>40</v>
      </c>
      <c r="H1" s="50" t="s">
        <v>1</v>
      </c>
      <c r="I1" s="50" t="s">
        <v>2</v>
      </c>
      <c r="J1" s="51" t="s">
        <v>3</v>
      </c>
      <c r="K1" s="51" t="s">
        <v>4</v>
      </c>
      <c r="L1" s="51" t="s">
        <v>5</v>
      </c>
      <c r="M1" s="56" t="s">
        <v>41</v>
      </c>
      <c r="N1" s="56" t="s">
        <v>42</v>
      </c>
      <c r="O1" s="56" t="s">
        <v>43</v>
      </c>
      <c r="P1" s="56" t="s">
        <v>44</v>
      </c>
    </row>
    <row r="2" spans="1:16" ht="15.75" hidden="1" x14ac:dyDescent="0.25">
      <c r="A2" s="48">
        <v>1</v>
      </c>
      <c r="B2" s="49" t="s">
        <v>45</v>
      </c>
      <c r="C2" s="49" t="s">
        <v>46</v>
      </c>
      <c r="D2" s="53" t="s">
        <v>47</v>
      </c>
      <c r="E2" s="53" t="s">
        <v>48</v>
      </c>
      <c r="F2" s="45">
        <f>SUM($H2:$P2)</f>
        <v>90</v>
      </c>
      <c r="G2" s="58">
        <f>F2/60</f>
        <v>1.5</v>
      </c>
      <c r="H2" s="5">
        <v>90</v>
      </c>
      <c r="I2" s="5"/>
      <c r="J2" s="5"/>
      <c r="K2" s="5"/>
      <c r="L2" s="5"/>
    </row>
    <row r="3" spans="1:16" ht="15.75" hidden="1" x14ac:dyDescent="0.25">
      <c r="A3" s="48">
        <v>2</v>
      </c>
      <c r="B3" s="49" t="s">
        <v>49</v>
      </c>
      <c r="C3" s="49" t="s">
        <v>50</v>
      </c>
      <c r="D3" s="53" t="s">
        <v>47</v>
      </c>
      <c r="E3" s="53" t="s">
        <v>51</v>
      </c>
      <c r="F3" s="45">
        <f t="shared" ref="F3:F7" si="0">SUM($H3:$P3)</f>
        <v>0</v>
      </c>
      <c r="G3" s="58">
        <f t="shared" ref="G3:G32" si="1">F3/60</f>
        <v>0</v>
      </c>
      <c r="H3" s="5"/>
      <c r="I3" s="5"/>
      <c r="J3" s="5"/>
      <c r="K3" s="5"/>
      <c r="L3" s="5"/>
    </row>
    <row r="4" spans="1:16" ht="15.75" hidden="1" x14ac:dyDescent="0.25">
      <c r="A4" s="48">
        <v>3</v>
      </c>
      <c r="B4" s="49" t="s">
        <v>52</v>
      </c>
      <c r="C4" s="49" t="s">
        <v>53</v>
      </c>
      <c r="D4" s="53" t="s">
        <v>47</v>
      </c>
      <c r="E4" s="53" t="s">
        <v>51</v>
      </c>
      <c r="F4" s="45">
        <f t="shared" si="0"/>
        <v>0</v>
      </c>
      <c r="G4" s="58">
        <f t="shared" si="1"/>
        <v>0</v>
      </c>
      <c r="H4" s="5"/>
      <c r="I4" s="5"/>
      <c r="J4" s="5"/>
      <c r="K4" s="5"/>
      <c r="L4" s="5"/>
    </row>
    <row r="5" spans="1:16" ht="15.75" hidden="1" x14ac:dyDescent="0.25">
      <c r="A5" s="48">
        <v>4</v>
      </c>
      <c r="B5" s="49" t="s">
        <v>54</v>
      </c>
      <c r="C5" s="49" t="s">
        <v>55</v>
      </c>
      <c r="D5" s="53" t="s">
        <v>47</v>
      </c>
      <c r="E5" s="53" t="s">
        <v>56</v>
      </c>
      <c r="F5" s="45">
        <f t="shared" si="0"/>
        <v>0</v>
      </c>
      <c r="G5" s="58">
        <f t="shared" si="1"/>
        <v>0</v>
      </c>
      <c r="H5" s="5"/>
      <c r="I5" s="5"/>
      <c r="J5" s="5"/>
      <c r="K5" s="5"/>
      <c r="L5" s="5"/>
    </row>
    <row r="6" spans="1:16" ht="15.75" hidden="1" x14ac:dyDescent="0.25">
      <c r="A6" s="48">
        <v>5</v>
      </c>
      <c r="B6" s="49" t="s">
        <v>57</v>
      </c>
      <c r="C6" s="49" t="s">
        <v>58</v>
      </c>
      <c r="D6" s="53" t="s">
        <v>47</v>
      </c>
      <c r="E6" s="53" t="s">
        <v>51</v>
      </c>
      <c r="F6" s="45">
        <f t="shared" si="0"/>
        <v>90</v>
      </c>
      <c r="G6" s="58">
        <f t="shared" si="1"/>
        <v>1.5</v>
      </c>
      <c r="H6" s="5"/>
      <c r="I6" s="5"/>
      <c r="J6" s="5"/>
      <c r="K6" s="5"/>
      <c r="L6" s="5"/>
      <c r="M6" s="3">
        <v>30</v>
      </c>
      <c r="N6" s="3">
        <v>30</v>
      </c>
      <c r="O6" s="3">
        <v>30</v>
      </c>
    </row>
    <row r="7" spans="1:16" ht="15.75" hidden="1" x14ac:dyDescent="0.25">
      <c r="A7" s="48">
        <v>6</v>
      </c>
      <c r="B7" s="49" t="s">
        <v>59</v>
      </c>
      <c r="C7" t="s">
        <v>60</v>
      </c>
      <c r="D7" s="53" t="s">
        <v>47</v>
      </c>
      <c r="E7" s="53" t="s">
        <v>61</v>
      </c>
      <c r="F7" s="45">
        <f t="shared" si="0"/>
        <v>0</v>
      </c>
      <c r="G7" s="58">
        <f t="shared" si="1"/>
        <v>0</v>
      </c>
      <c r="H7" s="5"/>
      <c r="I7" s="5"/>
      <c r="J7" s="5"/>
      <c r="K7" s="5"/>
      <c r="L7" s="5"/>
    </row>
    <row r="8" spans="1:16" ht="15.75" hidden="1" x14ac:dyDescent="0.25">
      <c r="A8" s="48">
        <v>7</v>
      </c>
      <c r="B8" s="49" t="s">
        <v>62</v>
      </c>
      <c r="C8" s="49" t="s">
        <v>63</v>
      </c>
      <c r="D8" s="53" t="s">
        <v>64</v>
      </c>
      <c r="E8" s="53" t="s">
        <v>65</v>
      </c>
      <c r="F8" s="45">
        <f t="shared" ref="F8:F63" si="2">SUM($H8:$K8)</f>
        <v>0</v>
      </c>
      <c r="G8" s="58">
        <f t="shared" si="1"/>
        <v>0</v>
      </c>
      <c r="H8" s="5"/>
      <c r="I8" s="5"/>
      <c r="J8" s="5"/>
      <c r="K8" s="5"/>
      <c r="L8" s="5"/>
    </row>
    <row r="9" spans="1:16" ht="15.75" hidden="1" x14ac:dyDescent="0.25">
      <c r="A9" s="48">
        <v>8</v>
      </c>
      <c r="B9" s="49" t="s">
        <v>66</v>
      </c>
      <c r="C9" s="49" t="s">
        <v>67</v>
      </c>
      <c r="D9" s="53" t="s">
        <v>47</v>
      </c>
      <c r="E9" s="53" t="s">
        <v>48</v>
      </c>
      <c r="F9" s="45">
        <f t="shared" ref="F9:F14" si="3">SUM($H9:$P9)</f>
        <v>222</v>
      </c>
      <c r="G9" s="58">
        <f t="shared" si="1"/>
        <v>3.7</v>
      </c>
      <c r="H9" s="5"/>
      <c r="I9" s="5">
        <v>12</v>
      </c>
      <c r="J9" s="5"/>
      <c r="K9" s="5">
        <v>90</v>
      </c>
      <c r="L9" s="5"/>
      <c r="M9" s="3">
        <v>30</v>
      </c>
      <c r="N9" s="3">
        <v>30</v>
      </c>
      <c r="O9" s="3">
        <v>30</v>
      </c>
      <c r="P9" s="3">
        <v>30</v>
      </c>
    </row>
    <row r="10" spans="1:16" ht="15.75" hidden="1" x14ac:dyDescent="0.25">
      <c r="A10" s="48">
        <v>9</v>
      </c>
      <c r="B10" s="49" t="s">
        <v>68</v>
      </c>
      <c r="C10" s="49" t="s">
        <v>69</v>
      </c>
      <c r="D10" s="53" t="s">
        <v>47</v>
      </c>
      <c r="E10" s="53" t="s">
        <v>51</v>
      </c>
      <c r="F10" s="45">
        <f t="shared" si="3"/>
        <v>90</v>
      </c>
      <c r="G10" s="58">
        <f t="shared" si="1"/>
        <v>1.5</v>
      </c>
      <c r="H10" s="5"/>
      <c r="I10" s="5"/>
      <c r="J10" s="5"/>
      <c r="K10" s="5"/>
      <c r="L10" s="5"/>
      <c r="N10" s="3">
        <v>30</v>
      </c>
      <c r="O10" s="3">
        <v>30</v>
      </c>
      <c r="P10" s="3">
        <v>30</v>
      </c>
    </row>
    <row r="11" spans="1:16" ht="15.75" hidden="1" x14ac:dyDescent="0.25">
      <c r="A11" s="48">
        <v>10</v>
      </c>
      <c r="B11" s="49" t="s">
        <v>70</v>
      </c>
      <c r="C11" s="49" t="s">
        <v>71</v>
      </c>
      <c r="D11" s="53" t="s">
        <v>47</v>
      </c>
      <c r="E11" s="53" t="s">
        <v>51</v>
      </c>
      <c r="F11" s="45">
        <f t="shared" si="3"/>
        <v>60</v>
      </c>
      <c r="G11" s="58">
        <f t="shared" si="1"/>
        <v>1</v>
      </c>
      <c r="H11" s="5"/>
      <c r="I11" s="5"/>
      <c r="J11" s="5"/>
      <c r="K11" s="5"/>
      <c r="L11" s="5"/>
      <c r="N11" s="3">
        <v>30</v>
      </c>
      <c r="P11" s="3">
        <v>30</v>
      </c>
    </row>
    <row r="12" spans="1:16" ht="15.75" hidden="1" x14ac:dyDescent="0.25">
      <c r="A12" s="48">
        <v>11</v>
      </c>
      <c r="B12" s="49" t="s">
        <v>72</v>
      </c>
      <c r="C12" s="49" t="s">
        <v>73</v>
      </c>
      <c r="D12" s="53" t="s">
        <v>47</v>
      </c>
      <c r="E12" s="53" t="s">
        <v>61</v>
      </c>
      <c r="F12" s="45">
        <f t="shared" si="3"/>
        <v>60</v>
      </c>
      <c r="G12" s="58">
        <f t="shared" si="1"/>
        <v>1</v>
      </c>
      <c r="H12" s="5"/>
      <c r="I12" s="5"/>
      <c r="J12" s="5">
        <v>60</v>
      </c>
      <c r="K12" s="5"/>
      <c r="L12" s="5"/>
    </row>
    <row r="13" spans="1:16" ht="15.75" hidden="1" x14ac:dyDescent="0.25">
      <c r="A13" s="48">
        <v>12</v>
      </c>
      <c r="B13" s="49" t="s">
        <v>74</v>
      </c>
      <c r="C13" s="49" t="s">
        <v>75</v>
      </c>
      <c r="D13" s="53" t="s">
        <v>47</v>
      </c>
      <c r="E13" s="53" t="s">
        <v>76</v>
      </c>
      <c r="F13" s="45">
        <f t="shared" si="3"/>
        <v>60</v>
      </c>
      <c r="G13" s="58">
        <f t="shared" si="1"/>
        <v>1</v>
      </c>
      <c r="H13" s="5"/>
      <c r="I13" s="5"/>
      <c r="J13" s="5"/>
      <c r="K13" s="5"/>
      <c r="L13" s="5"/>
      <c r="M13" s="3">
        <v>30</v>
      </c>
      <c r="O13" s="3">
        <v>30</v>
      </c>
    </row>
    <row r="14" spans="1:16" ht="15.75" hidden="1" x14ac:dyDescent="0.25">
      <c r="A14" s="48">
        <v>13</v>
      </c>
      <c r="B14" s="49" t="s">
        <v>77</v>
      </c>
      <c r="C14" s="49" t="s">
        <v>78</v>
      </c>
      <c r="D14" s="53" t="s">
        <v>47</v>
      </c>
      <c r="E14" s="53" t="s">
        <v>79</v>
      </c>
      <c r="F14" s="45">
        <f t="shared" si="3"/>
        <v>0</v>
      </c>
      <c r="G14" s="58">
        <f t="shared" si="1"/>
        <v>0</v>
      </c>
      <c r="H14" s="5"/>
      <c r="I14" s="5"/>
      <c r="J14" s="5"/>
      <c r="K14" s="5"/>
      <c r="L14" s="5"/>
    </row>
    <row r="15" spans="1:16" ht="15.75" hidden="1" x14ac:dyDescent="0.25">
      <c r="A15" s="48">
        <v>14</v>
      </c>
      <c r="B15" s="49" t="s">
        <v>80</v>
      </c>
      <c r="C15" s="49" t="s">
        <v>81</v>
      </c>
      <c r="D15" s="53" t="s">
        <v>82</v>
      </c>
      <c r="E15" s="53" t="s">
        <v>83</v>
      </c>
      <c r="F15" s="45">
        <f t="shared" si="2"/>
        <v>0</v>
      </c>
      <c r="G15" s="58">
        <f t="shared" si="1"/>
        <v>0</v>
      </c>
      <c r="H15" s="5"/>
      <c r="I15" s="5"/>
      <c r="J15" s="5"/>
      <c r="K15" s="5"/>
      <c r="L15" s="5"/>
    </row>
    <row r="16" spans="1:16" ht="15.75" hidden="1" x14ac:dyDescent="0.25">
      <c r="A16" s="48">
        <v>15</v>
      </c>
      <c r="B16" s="49" t="s">
        <v>84</v>
      </c>
      <c r="C16" s="49" t="s">
        <v>85</v>
      </c>
      <c r="D16" s="53" t="s">
        <v>47</v>
      </c>
      <c r="E16" s="53" t="s">
        <v>86</v>
      </c>
      <c r="F16" s="45">
        <f t="shared" ref="F16:F22" si="4">SUM($H16:$P16)</f>
        <v>60</v>
      </c>
      <c r="G16" s="58">
        <f t="shared" si="1"/>
        <v>1</v>
      </c>
      <c r="H16" s="5"/>
      <c r="I16" s="5"/>
      <c r="J16" s="5"/>
      <c r="K16" s="5"/>
      <c r="L16" s="5"/>
      <c r="O16" s="3">
        <v>30</v>
      </c>
      <c r="P16" s="3">
        <v>30</v>
      </c>
    </row>
    <row r="17" spans="1:16" ht="15.75" hidden="1" x14ac:dyDescent="0.25">
      <c r="A17" s="48">
        <v>16</v>
      </c>
      <c r="B17" s="49" t="s">
        <v>87</v>
      </c>
      <c r="C17" s="49" t="s">
        <v>88</v>
      </c>
      <c r="D17" s="53" t="s">
        <v>47</v>
      </c>
      <c r="E17" s="53" t="s">
        <v>51</v>
      </c>
      <c r="F17" s="45">
        <f t="shared" si="4"/>
        <v>0</v>
      </c>
      <c r="G17" s="58">
        <f t="shared" si="1"/>
        <v>0</v>
      </c>
      <c r="H17" s="5"/>
      <c r="I17" s="5"/>
      <c r="J17" s="5"/>
      <c r="K17" s="5"/>
      <c r="L17" s="5"/>
    </row>
    <row r="18" spans="1:16" ht="15.75" hidden="1" x14ac:dyDescent="0.25">
      <c r="A18" s="48">
        <v>17</v>
      </c>
      <c r="B18" s="49" t="s">
        <v>89</v>
      </c>
      <c r="C18" s="49" t="s">
        <v>90</v>
      </c>
      <c r="D18" s="53" t="s">
        <v>47</v>
      </c>
      <c r="E18" s="53" t="s">
        <v>48</v>
      </c>
      <c r="F18" s="45">
        <f t="shared" si="4"/>
        <v>0</v>
      </c>
      <c r="G18" s="58">
        <f t="shared" si="1"/>
        <v>0</v>
      </c>
      <c r="H18" s="5"/>
      <c r="I18" s="5"/>
      <c r="J18" s="5"/>
      <c r="K18" s="5"/>
      <c r="L18" s="5"/>
    </row>
    <row r="19" spans="1:16" ht="15.75" hidden="1" x14ac:dyDescent="0.25">
      <c r="A19" s="48">
        <v>18</v>
      </c>
      <c r="B19" s="49" t="s">
        <v>91</v>
      </c>
      <c r="C19" s="49" t="s">
        <v>92</v>
      </c>
      <c r="D19" s="53" t="s">
        <v>47</v>
      </c>
      <c r="E19" s="53" t="s">
        <v>61</v>
      </c>
      <c r="F19" s="45">
        <f t="shared" si="4"/>
        <v>0</v>
      </c>
      <c r="G19" s="58">
        <f t="shared" si="1"/>
        <v>0</v>
      </c>
      <c r="H19" s="5"/>
      <c r="I19" s="5"/>
      <c r="J19" s="5"/>
      <c r="K19" s="5"/>
      <c r="L19" s="5"/>
    </row>
    <row r="20" spans="1:16" ht="15.75" hidden="1" x14ac:dyDescent="0.25">
      <c r="A20" s="48">
        <v>19</v>
      </c>
      <c r="B20" s="49" t="s">
        <v>93</v>
      </c>
      <c r="C20" t="s">
        <v>94</v>
      </c>
      <c r="D20" s="53" t="s">
        <v>47</v>
      </c>
      <c r="E20" s="53" t="s">
        <v>48</v>
      </c>
      <c r="F20" s="45">
        <f t="shared" si="4"/>
        <v>314</v>
      </c>
      <c r="G20" s="58">
        <f t="shared" si="1"/>
        <v>5.2333333333333334</v>
      </c>
      <c r="H20" s="5">
        <v>90</v>
      </c>
      <c r="I20" s="5">
        <v>74</v>
      </c>
      <c r="J20" s="5">
        <v>60</v>
      </c>
      <c r="K20" s="5">
        <v>90</v>
      </c>
      <c r="L20" s="5"/>
    </row>
    <row r="21" spans="1:16" ht="15.75" hidden="1" x14ac:dyDescent="0.25">
      <c r="A21" s="48">
        <v>20</v>
      </c>
      <c r="B21" s="49" t="s">
        <v>95</v>
      </c>
      <c r="C21" s="49" t="s">
        <v>96</v>
      </c>
      <c r="D21" s="53" t="s">
        <v>47</v>
      </c>
      <c r="E21" s="53" t="s">
        <v>76</v>
      </c>
      <c r="F21" s="45">
        <f t="shared" si="4"/>
        <v>120</v>
      </c>
      <c r="G21" s="58">
        <f t="shared" si="1"/>
        <v>2</v>
      </c>
      <c r="H21" s="5"/>
      <c r="I21" s="5"/>
      <c r="J21" s="5"/>
      <c r="K21" s="5"/>
      <c r="L21" s="5"/>
      <c r="M21" s="3">
        <v>30</v>
      </c>
      <c r="N21" s="3">
        <v>30</v>
      </c>
      <c r="O21" s="3">
        <v>30</v>
      </c>
      <c r="P21" s="3">
        <v>30</v>
      </c>
    </row>
    <row r="22" spans="1:16" ht="15.75" hidden="1" x14ac:dyDescent="0.25">
      <c r="A22" s="48">
        <v>21</v>
      </c>
      <c r="B22" s="49" t="s">
        <v>97</v>
      </c>
      <c r="C22" s="49" t="s">
        <v>98</v>
      </c>
      <c r="D22" s="53" t="s">
        <v>47</v>
      </c>
      <c r="E22" s="53" t="s">
        <v>48</v>
      </c>
      <c r="F22" s="45">
        <f t="shared" si="4"/>
        <v>60</v>
      </c>
      <c r="G22" s="58">
        <f t="shared" si="1"/>
        <v>1</v>
      </c>
      <c r="H22" s="5"/>
      <c r="I22" s="5"/>
      <c r="J22" s="5"/>
      <c r="K22" s="5"/>
      <c r="L22" s="5"/>
      <c r="N22" s="3">
        <v>30</v>
      </c>
      <c r="P22" s="3">
        <v>30</v>
      </c>
    </row>
    <row r="23" spans="1:16" ht="15.75" hidden="1" x14ac:dyDescent="0.25">
      <c r="A23" s="48">
        <v>22</v>
      </c>
      <c r="B23" s="49" t="s">
        <v>99</v>
      </c>
      <c r="C23" s="49" t="s">
        <v>100</v>
      </c>
      <c r="D23" s="53" t="s">
        <v>64</v>
      </c>
      <c r="E23" s="53" t="s">
        <v>65</v>
      </c>
      <c r="F23" s="45">
        <f t="shared" si="2"/>
        <v>0</v>
      </c>
      <c r="G23" s="58">
        <f t="shared" si="1"/>
        <v>0</v>
      </c>
      <c r="H23" s="5"/>
      <c r="I23" s="5"/>
      <c r="J23" s="5"/>
      <c r="K23" s="5"/>
      <c r="L23" s="5"/>
    </row>
    <row r="24" spans="1:16" ht="15.75" hidden="1" x14ac:dyDescent="0.25">
      <c r="A24" s="48">
        <v>23</v>
      </c>
      <c r="B24" s="49" t="s">
        <v>101</v>
      </c>
      <c r="C24" s="49" t="s">
        <v>102</v>
      </c>
      <c r="D24" s="53" t="s">
        <v>47</v>
      </c>
      <c r="E24" s="53" t="s">
        <v>79</v>
      </c>
      <c r="F24" s="45">
        <f t="shared" ref="F24:F32" si="5">SUM($H24:$P24)</f>
        <v>0</v>
      </c>
      <c r="G24" s="58">
        <f t="shared" si="1"/>
        <v>0</v>
      </c>
      <c r="H24" s="5"/>
      <c r="I24" s="5"/>
      <c r="J24" s="5"/>
      <c r="K24" s="5"/>
      <c r="L24" s="5"/>
    </row>
    <row r="25" spans="1:16" ht="15.75" hidden="1" x14ac:dyDescent="0.25">
      <c r="A25" s="48">
        <v>24</v>
      </c>
      <c r="B25" s="49" t="s">
        <v>103</v>
      </c>
      <c r="C25" s="49" t="s">
        <v>104</v>
      </c>
      <c r="D25" s="53" t="s">
        <v>47</v>
      </c>
      <c r="E25" s="53" t="s">
        <v>105</v>
      </c>
      <c r="F25" s="45">
        <f t="shared" si="5"/>
        <v>0</v>
      </c>
      <c r="G25" s="58">
        <f t="shared" si="1"/>
        <v>0</v>
      </c>
      <c r="H25" s="5"/>
      <c r="I25" s="5"/>
      <c r="J25" s="5"/>
      <c r="K25" s="5"/>
      <c r="L25" s="5"/>
    </row>
    <row r="26" spans="1:16" ht="15.75" hidden="1" x14ac:dyDescent="0.25">
      <c r="A26" s="48">
        <v>25</v>
      </c>
      <c r="B26" s="49" t="s">
        <v>106</v>
      </c>
      <c r="C26" s="49" t="s">
        <v>107</v>
      </c>
      <c r="D26" s="53" t="s">
        <v>47</v>
      </c>
      <c r="E26" s="53" t="s">
        <v>76</v>
      </c>
      <c r="F26" s="45">
        <f t="shared" si="5"/>
        <v>0</v>
      </c>
      <c r="G26" s="58">
        <f t="shared" si="1"/>
        <v>0</v>
      </c>
      <c r="H26" s="5"/>
      <c r="I26" s="5"/>
      <c r="J26" s="5"/>
      <c r="K26" s="5"/>
      <c r="L26" s="5"/>
    </row>
    <row r="27" spans="1:16" ht="15.75" hidden="1" x14ac:dyDescent="0.25">
      <c r="A27" s="48">
        <v>26</v>
      </c>
      <c r="B27" s="49" t="s">
        <v>108</v>
      </c>
      <c r="C27" s="49" t="s">
        <v>109</v>
      </c>
      <c r="D27" s="53" t="s">
        <v>47</v>
      </c>
      <c r="E27" s="53" t="s">
        <v>51</v>
      </c>
      <c r="F27" s="45">
        <f t="shared" si="5"/>
        <v>180</v>
      </c>
      <c r="G27" s="58">
        <f t="shared" si="1"/>
        <v>3</v>
      </c>
      <c r="H27" s="5">
        <v>90</v>
      </c>
      <c r="I27" s="5"/>
      <c r="J27" s="5"/>
      <c r="K27" s="5"/>
      <c r="L27" s="5"/>
      <c r="N27" s="3">
        <v>30</v>
      </c>
      <c r="O27" s="3">
        <v>30</v>
      </c>
      <c r="P27" s="3">
        <v>30</v>
      </c>
    </row>
    <row r="28" spans="1:16" ht="15.75" hidden="1" x14ac:dyDescent="0.25">
      <c r="A28" s="48">
        <v>27</v>
      </c>
      <c r="B28" s="49" t="s">
        <v>110</v>
      </c>
      <c r="C28" s="49" t="s">
        <v>111</v>
      </c>
      <c r="D28" s="53" t="s">
        <v>47</v>
      </c>
      <c r="E28" s="53" t="s">
        <v>48</v>
      </c>
      <c r="F28" s="45">
        <f t="shared" si="5"/>
        <v>110</v>
      </c>
      <c r="G28" s="58">
        <f t="shared" si="1"/>
        <v>1.8333333333333333</v>
      </c>
      <c r="H28" s="5"/>
      <c r="I28" s="5">
        <v>50</v>
      </c>
      <c r="J28" s="5">
        <v>60</v>
      </c>
      <c r="K28" s="5"/>
      <c r="L28" s="5"/>
    </row>
    <row r="29" spans="1:16" ht="15.75" hidden="1" x14ac:dyDescent="0.25">
      <c r="A29" s="48">
        <v>28</v>
      </c>
      <c r="B29" s="49" t="s">
        <v>112</v>
      </c>
      <c r="C29" s="49" t="s">
        <v>113</v>
      </c>
      <c r="D29" s="53" t="s">
        <v>47</v>
      </c>
      <c r="E29" s="53" t="s">
        <v>48</v>
      </c>
      <c r="F29" s="45">
        <f t="shared" si="5"/>
        <v>381</v>
      </c>
      <c r="G29" s="58">
        <f t="shared" si="1"/>
        <v>6.35</v>
      </c>
      <c r="H29" s="5">
        <v>90</v>
      </c>
      <c r="I29" s="5">
        <v>21</v>
      </c>
      <c r="J29" s="5">
        <v>60</v>
      </c>
      <c r="K29" s="5">
        <v>90</v>
      </c>
      <c r="L29" s="5">
        <v>60</v>
      </c>
      <c r="N29" s="3">
        <v>30</v>
      </c>
      <c r="O29" s="3">
        <v>30</v>
      </c>
    </row>
    <row r="30" spans="1:16" ht="15.75" hidden="1" x14ac:dyDescent="0.25">
      <c r="A30" s="48">
        <v>29</v>
      </c>
      <c r="B30" s="49" t="s">
        <v>114</v>
      </c>
      <c r="C30" s="49" t="s">
        <v>115</v>
      </c>
      <c r="D30" s="53" t="s">
        <v>47</v>
      </c>
      <c r="E30" s="53" t="s">
        <v>116</v>
      </c>
      <c r="F30" s="45">
        <f t="shared" si="5"/>
        <v>76</v>
      </c>
      <c r="G30" s="58">
        <f t="shared" si="1"/>
        <v>1.2666666666666666</v>
      </c>
      <c r="H30" s="5"/>
      <c r="I30" s="5">
        <v>76</v>
      </c>
      <c r="J30" s="5"/>
      <c r="K30" s="5"/>
      <c r="L30" s="5"/>
    </row>
    <row r="31" spans="1:16" ht="15.75" hidden="1" x14ac:dyDescent="0.25">
      <c r="A31" s="48">
        <v>30</v>
      </c>
      <c r="B31" s="49" t="s">
        <v>117</v>
      </c>
      <c r="C31" s="49" t="s">
        <v>118</v>
      </c>
      <c r="D31" s="53" t="s">
        <v>47</v>
      </c>
      <c r="E31" s="53" t="s">
        <v>48</v>
      </c>
      <c r="F31" s="45">
        <f t="shared" si="5"/>
        <v>60</v>
      </c>
      <c r="G31" s="58">
        <f t="shared" si="1"/>
        <v>1</v>
      </c>
      <c r="H31" s="5"/>
      <c r="I31" s="5"/>
      <c r="J31" s="5"/>
      <c r="K31" s="5"/>
      <c r="L31" s="5"/>
      <c r="O31" s="3">
        <v>30</v>
      </c>
      <c r="P31" s="3">
        <v>30</v>
      </c>
    </row>
    <row r="32" spans="1:16" ht="15.75" hidden="1" x14ac:dyDescent="0.25">
      <c r="A32" s="48">
        <v>31</v>
      </c>
      <c r="B32" s="49" t="s">
        <v>119</v>
      </c>
      <c r="C32" s="49" t="s">
        <v>120</v>
      </c>
      <c r="D32" s="53" t="s">
        <v>47</v>
      </c>
      <c r="E32" s="53" t="s">
        <v>48</v>
      </c>
      <c r="F32" s="45">
        <f t="shared" si="5"/>
        <v>379</v>
      </c>
      <c r="G32" s="58">
        <f t="shared" si="1"/>
        <v>6.3166666666666664</v>
      </c>
      <c r="H32" s="5">
        <v>90</v>
      </c>
      <c r="I32" s="5">
        <v>79</v>
      </c>
      <c r="J32" s="5">
        <v>60</v>
      </c>
      <c r="K32" s="5"/>
      <c r="L32" s="5">
        <v>60</v>
      </c>
      <c r="N32" s="3">
        <v>30</v>
      </c>
      <c r="O32" s="3">
        <v>30</v>
      </c>
      <c r="P32" s="3">
        <v>30</v>
      </c>
    </row>
    <row r="33" spans="1:16" ht="15.75" hidden="1" x14ac:dyDescent="0.25">
      <c r="A33" s="48">
        <v>32</v>
      </c>
      <c r="B33" s="49" t="s">
        <v>121</v>
      </c>
      <c r="C33" s="49" t="s">
        <v>122</v>
      </c>
      <c r="D33" s="53" t="s">
        <v>123</v>
      </c>
      <c r="E33" s="53" t="s">
        <v>123</v>
      </c>
      <c r="F33" s="45">
        <f t="shared" si="2"/>
        <v>0</v>
      </c>
      <c r="G33" s="57"/>
      <c r="H33" s="5"/>
      <c r="I33" s="5"/>
      <c r="J33" s="5"/>
      <c r="K33" s="5"/>
      <c r="L33" s="5"/>
      <c r="M33"/>
      <c r="N33"/>
      <c r="O33"/>
      <c r="P33"/>
    </row>
    <row r="34" spans="1:16" ht="15.75" hidden="1" x14ac:dyDescent="0.25">
      <c r="A34" s="48">
        <v>33</v>
      </c>
      <c r="B34" s="49" t="s">
        <v>124</v>
      </c>
      <c r="C34" s="49" t="s">
        <v>125</v>
      </c>
      <c r="D34" s="53" t="s">
        <v>47</v>
      </c>
      <c r="E34" s="53" t="s">
        <v>105</v>
      </c>
      <c r="F34" s="45">
        <f t="shared" ref="F34:F40" si="6">SUM($H34:$P34)</f>
        <v>0</v>
      </c>
      <c r="G34" s="58">
        <f t="shared" ref="G34:G97" si="7">F34/60</f>
        <v>0</v>
      </c>
      <c r="H34" s="5"/>
      <c r="I34" s="5"/>
      <c r="J34" s="5"/>
      <c r="K34" s="5"/>
      <c r="L34" s="5"/>
    </row>
    <row r="35" spans="1:16" ht="15.75" hidden="1" x14ac:dyDescent="0.25">
      <c r="A35" s="48">
        <v>34</v>
      </c>
      <c r="B35" s="49" t="s">
        <v>126</v>
      </c>
      <c r="C35" s="49" t="s">
        <v>127</v>
      </c>
      <c r="D35" s="53" t="s">
        <v>47</v>
      </c>
      <c r="E35" s="53" t="s">
        <v>48</v>
      </c>
      <c r="F35" s="45">
        <f t="shared" si="6"/>
        <v>90</v>
      </c>
      <c r="G35" s="58">
        <f t="shared" si="7"/>
        <v>1.5</v>
      </c>
      <c r="H35" s="5"/>
      <c r="I35" s="5"/>
      <c r="J35" s="5"/>
      <c r="K35" s="5"/>
      <c r="L35" s="5"/>
      <c r="N35" s="3">
        <v>30</v>
      </c>
      <c r="O35" s="3">
        <v>30</v>
      </c>
      <c r="P35" s="3">
        <v>30</v>
      </c>
    </row>
    <row r="36" spans="1:16" ht="15.75" hidden="1" x14ac:dyDescent="0.25">
      <c r="A36" s="48">
        <v>35</v>
      </c>
      <c r="B36" s="49" t="s">
        <v>128</v>
      </c>
      <c r="C36" s="49" t="s">
        <v>129</v>
      </c>
      <c r="D36" s="53" t="s">
        <v>47</v>
      </c>
      <c r="E36" s="53" t="s">
        <v>48</v>
      </c>
      <c r="F36" s="45">
        <f t="shared" si="6"/>
        <v>150</v>
      </c>
      <c r="G36" s="58">
        <f t="shared" si="7"/>
        <v>2.5</v>
      </c>
      <c r="H36" s="5"/>
      <c r="I36" s="5"/>
      <c r="J36" s="5"/>
      <c r="K36" s="5">
        <v>90</v>
      </c>
      <c r="L36" s="5"/>
      <c r="O36" s="3">
        <v>30</v>
      </c>
      <c r="P36" s="3">
        <v>30</v>
      </c>
    </row>
    <row r="37" spans="1:16" ht="15.75" hidden="1" x14ac:dyDescent="0.25">
      <c r="A37" s="48">
        <v>36</v>
      </c>
      <c r="B37" s="49" t="s">
        <v>130</v>
      </c>
      <c r="C37" s="49" t="s">
        <v>131</v>
      </c>
      <c r="D37" s="53" t="s">
        <v>47</v>
      </c>
      <c r="E37" s="53" t="s">
        <v>51</v>
      </c>
      <c r="F37" s="45">
        <f t="shared" si="6"/>
        <v>270</v>
      </c>
      <c r="G37" s="58">
        <f t="shared" si="7"/>
        <v>4.5</v>
      </c>
      <c r="H37" s="5">
        <v>90</v>
      </c>
      <c r="I37" s="5"/>
      <c r="J37" s="5"/>
      <c r="K37" s="5">
        <v>90</v>
      </c>
      <c r="L37" s="5"/>
      <c r="M37" s="3">
        <v>30</v>
      </c>
      <c r="O37" s="3">
        <v>30</v>
      </c>
      <c r="P37" s="3">
        <v>30</v>
      </c>
    </row>
    <row r="38" spans="1:16" ht="15.75" hidden="1" x14ac:dyDescent="0.25">
      <c r="A38" s="48">
        <v>37</v>
      </c>
      <c r="B38" s="49" t="s">
        <v>132</v>
      </c>
      <c r="C38" s="49" t="s">
        <v>133</v>
      </c>
      <c r="D38" s="53" t="s">
        <v>47</v>
      </c>
      <c r="E38" s="53" t="s">
        <v>48</v>
      </c>
      <c r="F38" s="45">
        <f t="shared" si="6"/>
        <v>210</v>
      </c>
      <c r="G38" s="58">
        <f t="shared" si="7"/>
        <v>3.5</v>
      </c>
      <c r="H38" s="5">
        <v>90</v>
      </c>
      <c r="I38" s="5"/>
      <c r="J38" s="5"/>
      <c r="K38" s="5"/>
      <c r="L38" s="5"/>
      <c r="M38" s="3">
        <v>30</v>
      </c>
      <c r="N38" s="3">
        <v>30</v>
      </c>
      <c r="O38" s="3">
        <v>30</v>
      </c>
      <c r="P38" s="3">
        <v>30</v>
      </c>
    </row>
    <row r="39" spans="1:16" ht="15.75" hidden="1" x14ac:dyDescent="0.25">
      <c r="A39" s="48">
        <v>38</v>
      </c>
      <c r="B39" s="49" t="s">
        <v>134</v>
      </c>
      <c r="C39" s="49" t="s">
        <v>135</v>
      </c>
      <c r="D39" s="53" t="s">
        <v>47</v>
      </c>
      <c r="E39" s="53" t="s">
        <v>105</v>
      </c>
      <c r="F39" s="45">
        <f t="shared" si="6"/>
        <v>0</v>
      </c>
      <c r="G39" s="58">
        <f t="shared" si="7"/>
        <v>0</v>
      </c>
      <c r="H39" s="5"/>
      <c r="I39" s="5"/>
      <c r="J39" s="5"/>
      <c r="K39" s="5"/>
      <c r="L39" s="5"/>
    </row>
    <row r="40" spans="1:16" ht="15.75" hidden="1" x14ac:dyDescent="0.25">
      <c r="A40" s="48">
        <v>39</v>
      </c>
      <c r="B40" s="49" t="s">
        <v>136</v>
      </c>
      <c r="C40" s="49" t="s">
        <v>137</v>
      </c>
      <c r="D40" s="53" t="s">
        <v>47</v>
      </c>
      <c r="E40" s="53" t="s">
        <v>51</v>
      </c>
      <c r="F40" s="45">
        <f t="shared" si="6"/>
        <v>0</v>
      </c>
      <c r="G40" s="58">
        <f t="shared" si="7"/>
        <v>0</v>
      </c>
      <c r="H40" s="5"/>
      <c r="I40" s="5"/>
      <c r="J40" s="5"/>
      <c r="K40" s="5"/>
      <c r="L40" s="5"/>
    </row>
    <row r="41" spans="1:16" ht="15.75" hidden="1" x14ac:dyDescent="0.25">
      <c r="A41" s="48">
        <v>40</v>
      </c>
      <c r="B41" s="49" t="s">
        <v>138</v>
      </c>
      <c r="C41" s="49" t="s">
        <v>139</v>
      </c>
      <c r="D41" s="53" t="s">
        <v>82</v>
      </c>
      <c r="E41" s="53" t="s">
        <v>140</v>
      </c>
      <c r="F41" s="45">
        <f t="shared" si="2"/>
        <v>0</v>
      </c>
      <c r="G41" s="58">
        <f t="shared" si="7"/>
        <v>0</v>
      </c>
      <c r="H41" s="5"/>
      <c r="I41" s="5"/>
      <c r="J41" s="5"/>
      <c r="K41" s="5"/>
      <c r="L41" s="5"/>
    </row>
    <row r="42" spans="1:16" ht="15.75" hidden="1" x14ac:dyDescent="0.25">
      <c r="A42" s="48">
        <v>41</v>
      </c>
      <c r="B42" s="49" t="s">
        <v>141</v>
      </c>
      <c r="C42" s="49" t="s">
        <v>142</v>
      </c>
      <c r="D42" s="53" t="s">
        <v>47</v>
      </c>
      <c r="E42" s="53" t="s">
        <v>51</v>
      </c>
      <c r="F42" s="45">
        <f t="shared" ref="F42:F49" si="8">SUM($H42:$P42)</f>
        <v>0</v>
      </c>
      <c r="G42" s="58">
        <f t="shared" si="7"/>
        <v>0</v>
      </c>
      <c r="H42" s="5"/>
      <c r="I42" s="5"/>
      <c r="J42" s="5"/>
      <c r="K42" s="5"/>
      <c r="L42" s="5"/>
    </row>
    <row r="43" spans="1:16" ht="15.75" hidden="1" x14ac:dyDescent="0.25">
      <c r="A43" s="48">
        <v>42</v>
      </c>
      <c r="B43" s="49" t="s">
        <v>143</v>
      </c>
      <c r="C43" s="49" t="s">
        <v>144</v>
      </c>
      <c r="D43" s="53" t="s">
        <v>47</v>
      </c>
      <c r="E43" s="53" t="s">
        <v>116</v>
      </c>
      <c r="F43" s="45">
        <f t="shared" si="8"/>
        <v>83</v>
      </c>
      <c r="G43" s="58">
        <f t="shared" si="7"/>
        <v>1.3833333333333333</v>
      </c>
      <c r="H43" s="5"/>
      <c r="I43" s="5">
        <v>83</v>
      </c>
      <c r="J43" s="5"/>
      <c r="K43" s="5"/>
      <c r="L43" s="5"/>
    </row>
    <row r="44" spans="1:16" ht="15.75" hidden="1" x14ac:dyDescent="0.25">
      <c r="A44" s="48">
        <v>43</v>
      </c>
      <c r="B44" s="49" t="s">
        <v>145</v>
      </c>
      <c r="C44" s="49" t="s">
        <v>146</v>
      </c>
      <c r="D44" s="53" t="s">
        <v>47</v>
      </c>
      <c r="E44" s="53" t="s">
        <v>147</v>
      </c>
      <c r="F44" s="45">
        <f t="shared" si="8"/>
        <v>120</v>
      </c>
      <c r="G44" s="58">
        <f t="shared" si="7"/>
        <v>2</v>
      </c>
      <c r="H44" s="5"/>
      <c r="I44" s="5"/>
      <c r="J44" s="5"/>
      <c r="K44" s="5"/>
      <c r="L44" s="5"/>
      <c r="M44" s="3">
        <v>30</v>
      </c>
      <c r="N44" s="3">
        <v>30</v>
      </c>
      <c r="O44" s="3">
        <v>30</v>
      </c>
      <c r="P44" s="3">
        <v>30</v>
      </c>
    </row>
    <row r="45" spans="1:16" ht="15.75" hidden="1" x14ac:dyDescent="0.25">
      <c r="A45" s="48">
        <v>44</v>
      </c>
      <c r="B45" s="49" t="s">
        <v>148</v>
      </c>
      <c r="C45" s="49" t="s">
        <v>149</v>
      </c>
      <c r="D45" s="53" t="s">
        <v>47</v>
      </c>
      <c r="E45" s="53" t="s">
        <v>56</v>
      </c>
      <c r="F45" s="45">
        <f t="shared" si="8"/>
        <v>90</v>
      </c>
      <c r="G45" s="58">
        <f t="shared" si="7"/>
        <v>1.5</v>
      </c>
      <c r="H45" s="5"/>
      <c r="I45" s="5"/>
      <c r="J45" s="5"/>
      <c r="K45" s="5"/>
      <c r="L45" s="5"/>
      <c r="M45" s="3">
        <v>30</v>
      </c>
      <c r="N45" s="3">
        <v>30</v>
      </c>
      <c r="O45" s="3">
        <v>30</v>
      </c>
    </row>
    <row r="46" spans="1:16" ht="15.75" hidden="1" x14ac:dyDescent="0.25">
      <c r="A46" s="48">
        <v>45</v>
      </c>
      <c r="B46" s="49" t="s">
        <v>150</v>
      </c>
      <c r="C46" s="49" t="s">
        <v>151</v>
      </c>
      <c r="D46" s="53" t="s">
        <v>47</v>
      </c>
      <c r="E46" s="53" t="s">
        <v>105</v>
      </c>
      <c r="F46" s="45">
        <f t="shared" si="8"/>
        <v>0</v>
      </c>
      <c r="G46" s="58">
        <f t="shared" si="7"/>
        <v>0</v>
      </c>
      <c r="H46" s="5"/>
      <c r="I46" s="5"/>
      <c r="J46" s="5"/>
      <c r="K46" s="5"/>
      <c r="L46" s="5"/>
    </row>
    <row r="47" spans="1:16" ht="15.75" hidden="1" x14ac:dyDescent="0.25">
      <c r="A47" s="48">
        <v>46</v>
      </c>
      <c r="B47" s="49" t="s">
        <v>152</v>
      </c>
      <c r="C47" s="49" t="s">
        <v>153</v>
      </c>
      <c r="D47" s="53" t="s">
        <v>47</v>
      </c>
      <c r="E47" s="53" t="s">
        <v>51</v>
      </c>
      <c r="F47" s="45">
        <f t="shared" si="8"/>
        <v>389</v>
      </c>
      <c r="G47" s="58">
        <f t="shared" si="7"/>
        <v>6.4833333333333334</v>
      </c>
      <c r="H47" s="5">
        <v>90</v>
      </c>
      <c r="I47" s="5">
        <v>59</v>
      </c>
      <c r="J47" s="5">
        <v>60</v>
      </c>
      <c r="K47" s="5">
        <v>90</v>
      </c>
      <c r="L47" s="5"/>
      <c r="M47" s="3">
        <v>30</v>
      </c>
      <c r="N47" s="3">
        <v>30</v>
      </c>
      <c r="O47" s="3">
        <v>30</v>
      </c>
    </row>
    <row r="48" spans="1:16" ht="15.75" hidden="1" x14ac:dyDescent="0.25">
      <c r="A48" s="48">
        <v>47</v>
      </c>
      <c r="B48" s="49" t="s">
        <v>154</v>
      </c>
      <c r="C48" s="49" t="s">
        <v>155</v>
      </c>
      <c r="D48" s="53" t="s">
        <v>47</v>
      </c>
      <c r="E48" s="53" t="s">
        <v>48</v>
      </c>
      <c r="F48" s="45">
        <f t="shared" si="8"/>
        <v>180</v>
      </c>
      <c r="G48" s="58">
        <f t="shared" si="7"/>
        <v>3</v>
      </c>
      <c r="H48" s="5">
        <v>90</v>
      </c>
      <c r="I48" s="5"/>
      <c r="J48" s="5"/>
      <c r="K48" s="5">
        <v>90</v>
      </c>
      <c r="L48" s="5"/>
    </row>
    <row r="49" spans="1:16" ht="15.75" hidden="1" x14ac:dyDescent="0.25">
      <c r="A49" s="48">
        <v>48</v>
      </c>
      <c r="B49" s="49" t="s">
        <v>156</v>
      </c>
      <c r="C49" s="49" t="s">
        <v>157</v>
      </c>
      <c r="D49" s="53" t="s">
        <v>47</v>
      </c>
      <c r="E49" s="53" t="s">
        <v>56</v>
      </c>
      <c r="F49" s="45">
        <f t="shared" si="8"/>
        <v>0</v>
      </c>
      <c r="G49" s="58">
        <f t="shared" si="7"/>
        <v>0</v>
      </c>
      <c r="H49" s="5"/>
      <c r="I49" s="5"/>
      <c r="J49" s="5"/>
      <c r="K49" s="5"/>
      <c r="L49" s="5"/>
    </row>
    <row r="50" spans="1:16" ht="15.75" hidden="1" x14ac:dyDescent="0.25">
      <c r="A50" s="48">
        <v>49</v>
      </c>
      <c r="B50" s="49" t="s">
        <v>158</v>
      </c>
      <c r="C50" s="49" t="s">
        <v>159</v>
      </c>
      <c r="D50" s="53" t="s">
        <v>82</v>
      </c>
      <c r="E50" s="53" t="s">
        <v>140</v>
      </c>
      <c r="F50" s="45">
        <f t="shared" si="2"/>
        <v>0</v>
      </c>
      <c r="G50" s="58">
        <f t="shared" si="7"/>
        <v>0</v>
      </c>
      <c r="H50" s="5"/>
      <c r="I50" s="5"/>
      <c r="J50" s="5"/>
      <c r="K50" s="5"/>
      <c r="L50" s="5"/>
    </row>
    <row r="51" spans="1:16" ht="15.75" hidden="1" x14ac:dyDescent="0.25">
      <c r="A51" s="48">
        <v>50</v>
      </c>
      <c r="B51" s="49" t="s">
        <v>160</v>
      </c>
      <c r="C51" s="49" t="s">
        <v>161</v>
      </c>
      <c r="D51" s="53" t="s">
        <v>47</v>
      </c>
      <c r="E51" s="53" t="s">
        <v>105</v>
      </c>
      <c r="F51" s="45">
        <f t="shared" ref="F51:F55" si="9">SUM($H51:$P51)</f>
        <v>0</v>
      </c>
      <c r="G51" s="58">
        <f t="shared" si="7"/>
        <v>0</v>
      </c>
      <c r="H51" s="5"/>
      <c r="I51" s="5"/>
      <c r="J51" s="5"/>
      <c r="K51" s="5"/>
      <c r="L51" s="5"/>
    </row>
    <row r="52" spans="1:16" ht="15.75" hidden="1" x14ac:dyDescent="0.25">
      <c r="A52" s="48">
        <v>51</v>
      </c>
      <c r="B52" s="49" t="s">
        <v>162</v>
      </c>
      <c r="C52" s="49" t="s">
        <v>163</v>
      </c>
      <c r="D52" s="53" t="s">
        <v>47</v>
      </c>
      <c r="E52" s="53" t="s">
        <v>105</v>
      </c>
      <c r="F52" s="45">
        <f t="shared" si="9"/>
        <v>30</v>
      </c>
      <c r="G52" s="58">
        <f t="shared" si="7"/>
        <v>0.5</v>
      </c>
      <c r="H52" s="5"/>
      <c r="I52" s="5"/>
      <c r="J52" s="5"/>
      <c r="K52" s="5"/>
      <c r="L52" s="5"/>
      <c r="P52" s="3">
        <v>30</v>
      </c>
    </row>
    <row r="53" spans="1:16" ht="15.75" hidden="1" x14ac:dyDescent="0.25">
      <c r="A53" s="48">
        <v>52</v>
      </c>
      <c r="B53" s="49" t="s">
        <v>164</v>
      </c>
      <c r="C53" s="49" t="s">
        <v>165</v>
      </c>
      <c r="D53" s="53" t="s">
        <v>47</v>
      </c>
      <c r="E53" s="53" t="s">
        <v>56</v>
      </c>
      <c r="F53" s="45">
        <f t="shared" si="9"/>
        <v>60</v>
      </c>
      <c r="G53" s="58">
        <f t="shared" si="7"/>
        <v>1</v>
      </c>
      <c r="H53" s="5"/>
      <c r="I53" s="5"/>
      <c r="J53" s="5"/>
      <c r="K53" s="5"/>
      <c r="L53" s="5"/>
      <c r="O53" s="3">
        <v>30</v>
      </c>
      <c r="P53" s="3">
        <v>30</v>
      </c>
    </row>
    <row r="54" spans="1:16" ht="15.75" hidden="1" x14ac:dyDescent="0.25">
      <c r="A54" s="48">
        <v>53</v>
      </c>
      <c r="B54" s="49" t="s">
        <v>166</v>
      </c>
      <c r="C54" s="49" t="s">
        <v>167</v>
      </c>
      <c r="D54" s="53" t="s">
        <v>47</v>
      </c>
      <c r="E54" s="53" t="s">
        <v>48</v>
      </c>
      <c r="F54" s="45">
        <f t="shared" si="9"/>
        <v>180</v>
      </c>
      <c r="G54" s="58">
        <f t="shared" si="7"/>
        <v>3</v>
      </c>
      <c r="H54" s="5">
        <v>90</v>
      </c>
      <c r="I54" s="5"/>
      <c r="J54" s="5"/>
      <c r="K54" s="5"/>
      <c r="L54" s="5">
        <v>60</v>
      </c>
      <c r="P54" s="3">
        <v>30</v>
      </c>
    </row>
    <row r="55" spans="1:16" ht="15.75" hidden="1" x14ac:dyDescent="0.25">
      <c r="A55" s="48">
        <v>54</v>
      </c>
      <c r="B55" s="49" t="s">
        <v>168</v>
      </c>
      <c r="C55" s="49" t="s">
        <v>169</v>
      </c>
      <c r="D55" s="53" t="s">
        <v>47</v>
      </c>
      <c r="E55" s="53" t="s">
        <v>51</v>
      </c>
      <c r="F55" s="45">
        <f t="shared" si="9"/>
        <v>0</v>
      </c>
      <c r="G55" s="58">
        <f t="shared" si="7"/>
        <v>0</v>
      </c>
      <c r="H55" s="5"/>
      <c r="I55" s="5"/>
      <c r="J55" s="5"/>
      <c r="K55" s="5"/>
      <c r="L55" s="5"/>
    </row>
    <row r="56" spans="1:16" ht="15.75" hidden="1" x14ac:dyDescent="0.25">
      <c r="A56" s="48">
        <v>55</v>
      </c>
      <c r="B56" s="49" t="s">
        <v>170</v>
      </c>
      <c r="C56" s="49" t="s">
        <v>171</v>
      </c>
      <c r="D56" s="53" t="s">
        <v>82</v>
      </c>
      <c r="E56" s="53" t="s">
        <v>83</v>
      </c>
      <c r="F56" s="45">
        <f t="shared" si="2"/>
        <v>0</v>
      </c>
      <c r="G56" s="58">
        <f t="shared" si="7"/>
        <v>0</v>
      </c>
      <c r="H56" s="5"/>
      <c r="I56" s="5"/>
      <c r="J56" s="5"/>
      <c r="K56" s="5"/>
      <c r="L56" s="5"/>
    </row>
    <row r="57" spans="1:16" ht="15.75" hidden="1" x14ac:dyDescent="0.25">
      <c r="A57" s="48">
        <v>56</v>
      </c>
      <c r="B57" s="49" t="s">
        <v>172</v>
      </c>
      <c r="C57" s="49" t="s">
        <v>173</v>
      </c>
      <c r="D57" s="53" t="s">
        <v>47</v>
      </c>
      <c r="E57" s="53" t="s">
        <v>51</v>
      </c>
      <c r="F57" s="45">
        <f t="shared" ref="F57:F62" si="10">SUM($H57:$P57)</f>
        <v>30</v>
      </c>
      <c r="G57" s="58">
        <f t="shared" si="7"/>
        <v>0.5</v>
      </c>
      <c r="H57" s="5"/>
      <c r="I57" s="5"/>
      <c r="J57" s="5"/>
      <c r="K57" s="5"/>
      <c r="L57" s="5"/>
      <c r="P57" s="3">
        <v>30</v>
      </c>
    </row>
    <row r="58" spans="1:16" ht="15.75" hidden="1" x14ac:dyDescent="0.25">
      <c r="A58" s="48">
        <v>57</v>
      </c>
      <c r="B58" s="49" t="s">
        <v>174</v>
      </c>
      <c r="C58" s="49" t="s">
        <v>175</v>
      </c>
      <c r="D58" s="53" t="s">
        <v>47</v>
      </c>
      <c r="E58" s="53" t="s">
        <v>56</v>
      </c>
      <c r="F58" s="45">
        <f t="shared" si="10"/>
        <v>0</v>
      </c>
      <c r="G58" s="58">
        <f t="shared" si="7"/>
        <v>0</v>
      </c>
      <c r="H58" s="5"/>
      <c r="I58" s="5"/>
      <c r="J58" s="5"/>
      <c r="K58" s="5"/>
      <c r="L58" s="5"/>
    </row>
    <row r="59" spans="1:16" ht="15.75" hidden="1" x14ac:dyDescent="0.25">
      <c r="A59" s="48">
        <v>58</v>
      </c>
      <c r="B59" s="49" t="s">
        <v>176</v>
      </c>
      <c r="C59" s="49" t="s">
        <v>177</v>
      </c>
      <c r="D59" s="53" t="s">
        <v>47</v>
      </c>
      <c r="E59" s="53" t="s">
        <v>105</v>
      </c>
      <c r="F59" s="45">
        <f t="shared" si="10"/>
        <v>0</v>
      </c>
      <c r="G59" s="58">
        <f t="shared" si="7"/>
        <v>0</v>
      </c>
      <c r="H59" s="5"/>
      <c r="I59" s="5"/>
      <c r="J59" s="5"/>
      <c r="K59" s="5"/>
      <c r="L59" s="5"/>
    </row>
    <row r="60" spans="1:16" ht="15.75" hidden="1" x14ac:dyDescent="0.25">
      <c r="A60" s="48">
        <v>59</v>
      </c>
      <c r="B60" s="49" t="s">
        <v>178</v>
      </c>
      <c r="C60" s="49" t="s">
        <v>179</v>
      </c>
      <c r="D60" s="53" t="s">
        <v>47</v>
      </c>
      <c r="E60" s="53" t="s">
        <v>48</v>
      </c>
      <c r="F60" s="45">
        <f t="shared" si="10"/>
        <v>90</v>
      </c>
      <c r="G60" s="58">
        <f t="shared" si="7"/>
        <v>1.5</v>
      </c>
      <c r="H60" s="5"/>
      <c r="I60" s="5"/>
      <c r="J60" s="5"/>
      <c r="K60" s="5"/>
      <c r="L60" s="5"/>
      <c r="M60" s="3">
        <v>30</v>
      </c>
      <c r="O60" s="3">
        <v>30</v>
      </c>
      <c r="P60" s="3">
        <v>30</v>
      </c>
    </row>
    <row r="61" spans="1:16" ht="15.75" hidden="1" x14ac:dyDescent="0.25">
      <c r="A61" s="48">
        <v>60</v>
      </c>
      <c r="B61" s="49" t="s">
        <v>180</v>
      </c>
      <c r="C61" s="49" t="s">
        <v>181</v>
      </c>
      <c r="D61" s="53" t="s">
        <v>47</v>
      </c>
      <c r="E61" s="53" t="s">
        <v>48</v>
      </c>
      <c r="F61" s="45">
        <f t="shared" si="10"/>
        <v>0</v>
      </c>
      <c r="G61" s="58">
        <f t="shared" si="7"/>
        <v>0</v>
      </c>
      <c r="H61" s="5"/>
      <c r="I61" s="5"/>
      <c r="J61" s="5"/>
      <c r="K61" s="5"/>
      <c r="L61" s="5"/>
    </row>
    <row r="62" spans="1:16" ht="15.75" hidden="1" x14ac:dyDescent="0.25">
      <c r="A62" s="48">
        <v>61</v>
      </c>
      <c r="B62" s="49" t="s">
        <v>182</v>
      </c>
      <c r="C62" s="49" t="s">
        <v>183</v>
      </c>
      <c r="D62" s="53" t="s">
        <v>47</v>
      </c>
      <c r="E62" s="53" t="s">
        <v>86</v>
      </c>
      <c r="F62" s="45">
        <f t="shared" si="10"/>
        <v>180</v>
      </c>
      <c r="G62" s="58">
        <f t="shared" si="7"/>
        <v>3</v>
      </c>
      <c r="H62" s="5"/>
      <c r="I62" s="5"/>
      <c r="J62" s="5"/>
      <c r="K62" s="5">
        <v>90</v>
      </c>
      <c r="L62" s="5"/>
      <c r="N62" s="3">
        <v>30</v>
      </c>
      <c r="O62" s="3">
        <v>30</v>
      </c>
      <c r="P62" s="3">
        <v>30</v>
      </c>
    </row>
    <row r="63" spans="1:16" ht="15.75" hidden="1" x14ac:dyDescent="0.25">
      <c r="A63" s="48">
        <v>62</v>
      </c>
      <c r="B63" s="49" t="s">
        <v>184</v>
      </c>
      <c r="C63" s="49" t="s">
        <v>185</v>
      </c>
      <c r="D63" s="53" t="s">
        <v>64</v>
      </c>
      <c r="E63" s="53" t="s">
        <v>186</v>
      </c>
      <c r="F63" s="45">
        <f t="shared" si="2"/>
        <v>0</v>
      </c>
      <c r="G63" s="58">
        <f t="shared" si="7"/>
        <v>0</v>
      </c>
      <c r="H63" s="5"/>
      <c r="I63" s="5"/>
      <c r="J63" s="5"/>
      <c r="K63" s="5"/>
      <c r="L63" s="5"/>
    </row>
    <row r="64" spans="1:16" ht="15.75" hidden="1" x14ac:dyDescent="0.25">
      <c r="A64" s="48">
        <v>63</v>
      </c>
      <c r="B64" s="49" t="s">
        <v>187</v>
      </c>
      <c r="C64" s="49" t="s">
        <v>188</v>
      </c>
      <c r="D64" s="53" t="s">
        <v>47</v>
      </c>
      <c r="E64" s="53" t="s">
        <v>48</v>
      </c>
      <c r="F64" s="45">
        <f t="shared" ref="F64:F70" si="11">SUM($H64:$P64)</f>
        <v>295</v>
      </c>
      <c r="G64" s="58">
        <f t="shared" si="7"/>
        <v>4.916666666666667</v>
      </c>
      <c r="H64" s="5">
        <v>90</v>
      </c>
      <c r="I64" s="5">
        <v>55</v>
      </c>
      <c r="J64" s="5"/>
      <c r="K64" s="5"/>
      <c r="L64" s="5">
        <v>60</v>
      </c>
      <c r="M64" s="3">
        <v>30</v>
      </c>
      <c r="O64" s="3">
        <v>30</v>
      </c>
      <c r="P64" s="3">
        <v>30</v>
      </c>
    </row>
    <row r="65" spans="1:16" ht="15.75" hidden="1" x14ac:dyDescent="0.25">
      <c r="A65" s="48">
        <v>64</v>
      </c>
      <c r="B65" s="49" t="s">
        <v>189</v>
      </c>
      <c r="C65" s="49" t="s">
        <v>190</v>
      </c>
      <c r="D65" s="53" t="s">
        <v>47</v>
      </c>
      <c r="E65" s="53" t="s">
        <v>51</v>
      </c>
      <c r="F65" s="45">
        <f t="shared" si="11"/>
        <v>150</v>
      </c>
      <c r="G65" s="58">
        <f t="shared" si="7"/>
        <v>2.5</v>
      </c>
      <c r="H65" s="5"/>
      <c r="I65" s="5"/>
      <c r="J65" s="5">
        <v>60</v>
      </c>
      <c r="K65" s="5">
        <v>90</v>
      </c>
      <c r="L65" s="5"/>
    </row>
    <row r="66" spans="1:16" ht="15.75" hidden="1" x14ac:dyDescent="0.25">
      <c r="A66" s="48">
        <v>65</v>
      </c>
      <c r="B66" s="49" t="s">
        <v>191</v>
      </c>
      <c r="C66" s="49" t="s">
        <v>192</v>
      </c>
      <c r="D66" s="53" t="s">
        <v>47</v>
      </c>
      <c r="E66" s="53" t="s">
        <v>51</v>
      </c>
      <c r="F66" s="45">
        <f t="shared" si="11"/>
        <v>210</v>
      </c>
      <c r="G66" s="58">
        <f t="shared" si="7"/>
        <v>3.5</v>
      </c>
      <c r="H66" s="5">
        <v>90</v>
      </c>
      <c r="I66" s="5"/>
      <c r="J66" s="5"/>
      <c r="K66" s="5">
        <v>90</v>
      </c>
      <c r="L66" s="5"/>
      <c r="P66" s="3">
        <v>30</v>
      </c>
    </row>
    <row r="67" spans="1:16" ht="15.75" hidden="1" x14ac:dyDescent="0.25">
      <c r="A67" s="48">
        <v>66</v>
      </c>
      <c r="B67" s="49" t="s">
        <v>193</v>
      </c>
      <c r="C67" s="49" t="s">
        <v>194</v>
      </c>
      <c r="D67" s="53" t="s">
        <v>47</v>
      </c>
      <c r="E67" s="53" t="s">
        <v>48</v>
      </c>
      <c r="F67" s="45">
        <f t="shared" si="11"/>
        <v>240</v>
      </c>
      <c r="G67" s="58">
        <f t="shared" si="7"/>
        <v>4</v>
      </c>
      <c r="H67" s="5"/>
      <c r="I67" s="5"/>
      <c r="J67" s="5"/>
      <c r="K67" s="5">
        <v>90</v>
      </c>
      <c r="L67" s="5">
        <v>60</v>
      </c>
      <c r="N67" s="3">
        <v>30</v>
      </c>
      <c r="O67" s="3">
        <v>30</v>
      </c>
      <c r="P67" s="3">
        <v>30</v>
      </c>
    </row>
    <row r="68" spans="1:16" ht="15.75" hidden="1" x14ac:dyDescent="0.25">
      <c r="A68" s="48">
        <v>67</v>
      </c>
      <c r="B68" s="49" t="s">
        <v>195</v>
      </c>
      <c r="C68" s="49" t="s">
        <v>196</v>
      </c>
      <c r="D68" s="53" t="s">
        <v>47</v>
      </c>
      <c r="E68" s="53" t="s">
        <v>48</v>
      </c>
      <c r="F68" s="45">
        <f t="shared" si="11"/>
        <v>120</v>
      </c>
      <c r="G68" s="58">
        <f t="shared" si="7"/>
        <v>2</v>
      </c>
      <c r="H68" s="5"/>
      <c r="I68" s="5"/>
      <c r="J68" s="5"/>
      <c r="K68" s="5"/>
      <c r="L68" s="5"/>
      <c r="M68" s="3">
        <v>30</v>
      </c>
      <c r="N68" s="3">
        <v>30</v>
      </c>
      <c r="O68" s="3">
        <v>30</v>
      </c>
      <c r="P68" s="3">
        <v>30</v>
      </c>
    </row>
    <row r="69" spans="1:16" ht="15.75" hidden="1" x14ac:dyDescent="0.25">
      <c r="A69" s="48">
        <v>68</v>
      </c>
      <c r="B69" s="49" t="s">
        <v>197</v>
      </c>
      <c r="C69" s="49" t="s">
        <v>198</v>
      </c>
      <c r="D69" s="53" t="s">
        <v>47</v>
      </c>
      <c r="E69" s="53" t="s">
        <v>105</v>
      </c>
      <c r="F69" s="45">
        <f t="shared" si="11"/>
        <v>90</v>
      </c>
      <c r="G69" s="58">
        <f t="shared" si="7"/>
        <v>1.5</v>
      </c>
      <c r="H69" s="5"/>
      <c r="I69" s="5"/>
      <c r="J69" s="5"/>
      <c r="K69" s="5"/>
      <c r="L69" s="5"/>
      <c r="N69" s="3">
        <v>30</v>
      </c>
      <c r="O69" s="3">
        <v>30</v>
      </c>
      <c r="P69" s="3">
        <v>30</v>
      </c>
    </row>
    <row r="70" spans="1:16" ht="15.75" hidden="1" x14ac:dyDescent="0.25">
      <c r="A70" s="48">
        <v>69</v>
      </c>
      <c r="B70" s="49" t="s">
        <v>199</v>
      </c>
      <c r="C70" s="49" t="s">
        <v>200</v>
      </c>
      <c r="D70" s="53" t="s">
        <v>47</v>
      </c>
      <c r="E70" s="53" t="s">
        <v>48</v>
      </c>
      <c r="F70" s="45">
        <f t="shared" si="11"/>
        <v>120</v>
      </c>
      <c r="G70" s="58">
        <f t="shared" si="7"/>
        <v>2</v>
      </c>
      <c r="H70" s="5"/>
      <c r="I70" s="5"/>
      <c r="J70" s="5"/>
      <c r="K70" s="5">
        <v>90</v>
      </c>
      <c r="L70" s="5"/>
      <c r="P70" s="3">
        <v>30</v>
      </c>
    </row>
    <row r="71" spans="1:16" ht="15.75" hidden="1" x14ac:dyDescent="0.25">
      <c r="A71" s="48">
        <v>70</v>
      </c>
      <c r="B71" s="49" t="s">
        <v>201</v>
      </c>
      <c r="C71" s="49" t="s">
        <v>202</v>
      </c>
      <c r="D71" s="53" t="s">
        <v>64</v>
      </c>
      <c r="E71" s="53" t="s">
        <v>186</v>
      </c>
      <c r="F71" s="45">
        <f t="shared" ref="F71:F127" si="12">SUM($H71:$K71)</f>
        <v>0</v>
      </c>
      <c r="G71" s="58">
        <f t="shared" si="7"/>
        <v>0</v>
      </c>
      <c r="H71" s="5"/>
      <c r="I71" s="5"/>
      <c r="J71" s="5"/>
      <c r="K71" s="5"/>
      <c r="L71" s="5"/>
    </row>
    <row r="72" spans="1:16" ht="15.75" hidden="1" x14ac:dyDescent="0.25">
      <c r="A72" s="48">
        <v>71</v>
      </c>
      <c r="B72" s="49" t="s">
        <v>203</v>
      </c>
      <c r="C72" s="49" t="s">
        <v>204</v>
      </c>
      <c r="D72" s="53" t="s">
        <v>47</v>
      </c>
      <c r="E72" s="53" t="s">
        <v>205</v>
      </c>
      <c r="F72" s="45">
        <f>SUM($H72:$P72)</f>
        <v>0</v>
      </c>
      <c r="G72" s="58">
        <f t="shared" si="7"/>
        <v>0</v>
      </c>
      <c r="H72" s="5"/>
      <c r="I72" s="5"/>
      <c r="J72" s="5"/>
      <c r="K72" s="5"/>
      <c r="L72" s="5"/>
    </row>
    <row r="73" spans="1:16" ht="15.75" hidden="1" x14ac:dyDescent="0.25">
      <c r="A73" s="48">
        <v>72</v>
      </c>
      <c r="B73" s="49" t="s">
        <v>206</v>
      </c>
      <c r="C73" s="49" t="s">
        <v>207</v>
      </c>
      <c r="D73" s="53" t="s">
        <v>64</v>
      </c>
      <c r="E73" s="53" t="s">
        <v>186</v>
      </c>
      <c r="F73" s="45">
        <f t="shared" si="12"/>
        <v>0</v>
      </c>
      <c r="G73" s="58">
        <f t="shared" si="7"/>
        <v>0</v>
      </c>
      <c r="H73" s="5"/>
      <c r="I73" s="5"/>
      <c r="J73" s="5"/>
      <c r="K73" s="5"/>
      <c r="L73" s="5"/>
    </row>
    <row r="74" spans="1:16" ht="15.75" hidden="1" x14ac:dyDescent="0.25">
      <c r="A74" s="48">
        <v>73</v>
      </c>
      <c r="B74" s="49" t="s">
        <v>208</v>
      </c>
      <c r="C74" s="49" t="s">
        <v>209</v>
      </c>
      <c r="D74" s="53" t="s">
        <v>47</v>
      </c>
      <c r="E74" s="53" t="s">
        <v>105</v>
      </c>
      <c r="F74" s="45">
        <f t="shared" ref="F74:F75" si="13">SUM($H74:$P74)</f>
        <v>0</v>
      </c>
      <c r="G74" s="58">
        <f t="shared" si="7"/>
        <v>0</v>
      </c>
      <c r="H74" s="5"/>
      <c r="I74" s="5"/>
      <c r="J74" s="5"/>
      <c r="K74" s="5"/>
      <c r="L74" s="5"/>
    </row>
    <row r="75" spans="1:16" ht="15.75" hidden="1" x14ac:dyDescent="0.25">
      <c r="A75" s="48">
        <v>74</v>
      </c>
      <c r="B75" s="49" t="s">
        <v>210</v>
      </c>
      <c r="C75" s="49" t="s">
        <v>211</v>
      </c>
      <c r="D75" s="53" t="s">
        <v>47</v>
      </c>
      <c r="E75" s="53" t="s">
        <v>48</v>
      </c>
      <c r="F75" s="45">
        <f t="shared" si="13"/>
        <v>56</v>
      </c>
      <c r="G75" s="58">
        <f t="shared" si="7"/>
        <v>0.93333333333333335</v>
      </c>
      <c r="H75" s="5"/>
      <c r="I75" s="5">
        <v>26</v>
      </c>
      <c r="J75" s="5"/>
      <c r="K75" s="5"/>
      <c r="L75" s="5"/>
      <c r="P75" s="3">
        <v>30</v>
      </c>
    </row>
    <row r="76" spans="1:16" ht="15.75" hidden="1" x14ac:dyDescent="0.25">
      <c r="A76" s="48">
        <v>75</v>
      </c>
      <c r="B76" s="49" t="s">
        <v>212</v>
      </c>
      <c r="C76" s="49" t="s">
        <v>213</v>
      </c>
      <c r="D76" s="53" t="s">
        <v>64</v>
      </c>
      <c r="E76" s="53" t="s">
        <v>186</v>
      </c>
      <c r="F76" s="45">
        <f t="shared" si="12"/>
        <v>0</v>
      </c>
      <c r="G76" s="58">
        <f t="shared" si="7"/>
        <v>0</v>
      </c>
      <c r="H76" s="5"/>
      <c r="I76" s="5"/>
      <c r="J76" s="5"/>
      <c r="K76" s="5"/>
      <c r="L76" s="5"/>
    </row>
    <row r="77" spans="1:16" ht="15.75" hidden="1" x14ac:dyDescent="0.25">
      <c r="A77" s="48">
        <v>76</v>
      </c>
      <c r="B77" s="49" t="s">
        <v>214</v>
      </c>
      <c r="C77" s="49" t="s">
        <v>215</v>
      </c>
      <c r="D77" s="53" t="s">
        <v>47</v>
      </c>
      <c r="E77" s="53" t="s">
        <v>51</v>
      </c>
      <c r="F77" s="45">
        <f>SUM($H77:$P77)</f>
        <v>0</v>
      </c>
      <c r="G77" s="58">
        <f t="shared" si="7"/>
        <v>0</v>
      </c>
      <c r="H77" s="5"/>
      <c r="I77" s="5"/>
      <c r="J77" s="5"/>
      <c r="K77" s="5"/>
      <c r="L77" s="5"/>
    </row>
    <row r="78" spans="1:16" ht="15.75" hidden="1" x14ac:dyDescent="0.25">
      <c r="A78" s="48">
        <v>77</v>
      </c>
      <c r="B78" s="49" t="s">
        <v>216</v>
      </c>
      <c r="C78" s="49" t="s">
        <v>217</v>
      </c>
      <c r="D78" s="53" t="s">
        <v>64</v>
      </c>
      <c r="E78" s="53" t="s">
        <v>65</v>
      </c>
      <c r="F78" s="45">
        <f t="shared" si="12"/>
        <v>0</v>
      </c>
      <c r="G78" s="58">
        <f t="shared" si="7"/>
        <v>0</v>
      </c>
      <c r="H78" s="5"/>
      <c r="I78" s="5"/>
      <c r="J78" s="5"/>
      <c r="K78" s="5"/>
      <c r="L78" s="5"/>
    </row>
    <row r="79" spans="1:16" ht="15.75" hidden="1" x14ac:dyDescent="0.25">
      <c r="A79" s="48">
        <v>78</v>
      </c>
      <c r="B79" s="49" t="s">
        <v>218</v>
      </c>
      <c r="C79" s="49" t="s">
        <v>219</v>
      </c>
      <c r="D79" s="53" t="s">
        <v>47</v>
      </c>
      <c r="E79" s="53" t="s">
        <v>51</v>
      </c>
      <c r="F79" s="45">
        <f t="shared" ref="F79:F92" si="14">SUM($H79:$P79)</f>
        <v>0</v>
      </c>
      <c r="G79" s="58">
        <f t="shared" si="7"/>
        <v>0</v>
      </c>
      <c r="H79" s="5"/>
      <c r="I79" s="5"/>
      <c r="J79" s="5"/>
      <c r="K79" s="5"/>
      <c r="L79" s="5"/>
    </row>
    <row r="80" spans="1:16" ht="15.75" hidden="1" x14ac:dyDescent="0.25">
      <c r="A80" s="48">
        <v>79</v>
      </c>
      <c r="B80" s="49" t="s">
        <v>220</v>
      </c>
      <c r="C80" s="49" t="s">
        <v>221</v>
      </c>
      <c r="D80" s="53" t="s">
        <v>47</v>
      </c>
      <c r="E80" s="53" t="s">
        <v>56</v>
      </c>
      <c r="F80" s="45">
        <f t="shared" si="14"/>
        <v>0</v>
      </c>
      <c r="G80" s="58">
        <f t="shared" si="7"/>
        <v>0</v>
      </c>
      <c r="H80" s="5"/>
      <c r="I80" s="5"/>
      <c r="J80" s="5"/>
      <c r="K80" s="5"/>
      <c r="L80" s="5"/>
    </row>
    <row r="81" spans="1:16" ht="15.75" hidden="1" x14ac:dyDescent="0.25">
      <c r="A81" s="48">
        <v>80</v>
      </c>
      <c r="B81" s="49" t="s">
        <v>222</v>
      </c>
      <c r="C81" s="49" t="s">
        <v>223</v>
      </c>
      <c r="D81" s="53" t="s">
        <v>47</v>
      </c>
      <c r="E81" s="53" t="s">
        <v>105</v>
      </c>
      <c r="F81" s="45">
        <f t="shared" si="14"/>
        <v>485</v>
      </c>
      <c r="G81" s="58">
        <f t="shared" si="7"/>
        <v>8.0833333333333339</v>
      </c>
      <c r="H81" s="5">
        <v>90</v>
      </c>
      <c r="I81" s="5">
        <v>65</v>
      </c>
      <c r="J81" s="5">
        <v>60</v>
      </c>
      <c r="K81" s="5">
        <v>90</v>
      </c>
      <c r="L81" s="5">
        <v>60</v>
      </c>
      <c r="M81" s="5">
        <v>30</v>
      </c>
      <c r="N81" s="5">
        <v>30</v>
      </c>
      <c r="O81" s="3">
        <v>30</v>
      </c>
      <c r="P81" s="3">
        <v>30</v>
      </c>
    </row>
    <row r="82" spans="1:16" ht="15.75" hidden="1" x14ac:dyDescent="0.25">
      <c r="A82" s="48">
        <v>81</v>
      </c>
      <c r="B82" s="49" t="s">
        <v>224</v>
      </c>
      <c r="C82" s="49" t="s">
        <v>225</v>
      </c>
      <c r="D82" s="53" t="s">
        <v>47</v>
      </c>
      <c r="E82" s="53" t="s">
        <v>205</v>
      </c>
      <c r="F82" s="45">
        <f t="shared" si="14"/>
        <v>0</v>
      </c>
      <c r="G82" s="58">
        <f t="shared" si="7"/>
        <v>0</v>
      </c>
      <c r="H82" s="5"/>
      <c r="I82" s="5"/>
      <c r="J82" s="5"/>
      <c r="K82" s="5"/>
      <c r="L82" s="5"/>
    </row>
    <row r="83" spans="1:16" ht="15.75" hidden="1" x14ac:dyDescent="0.25">
      <c r="A83" s="48">
        <v>82</v>
      </c>
      <c r="B83" s="49" t="s">
        <v>226</v>
      </c>
      <c r="C83" s="49" t="s">
        <v>227</v>
      </c>
      <c r="D83" s="53" t="s">
        <v>47</v>
      </c>
      <c r="E83" s="53" t="s">
        <v>105</v>
      </c>
      <c r="F83" s="45">
        <f t="shared" si="14"/>
        <v>0</v>
      </c>
      <c r="G83" s="58">
        <f t="shared" si="7"/>
        <v>0</v>
      </c>
      <c r="H83" s="5"/>
      <c r="I83" s="5"/>
      <c r="J83" s="5"/>
      <c r="K83" s="5"/>
      <c r="L83" s="5"/>
    </row>
    <row r="84" spans="1:16" ht="15.75" hidden="1" x14ac:dyDescent="0.25">
      <c r="A84" s="48">
        <v>83</v>
      </c>
      <c r="B84" s="49" t="s">
        <v>228</v>
      </c>
      <c r="C84" s="49" t="s">
        <v>229</v>
      </c>
      <c r="D84" s="53" t="s">
        <v>47</v>
      </c>
      <c r="E84" s="53" t="s">
        <v>76</v>
      </c>
      <c r="F84" s="45">
        <f t="shared" si="14"/>
        <v>0</v>
      </c>
      <c r="G84" s="58">
        <f t="shared" si="7"/>
        <v>0</v>
      </c>
      <c r="H84" s="5"/>
      <c r="I84" s="5"/>
      <c r="J84" s="5"/>
      <c r="K84" s="5"/>
      <c r="L84" s="5"/>
    </row>
    <row r="85" spans="1:16" ht="15.75" hidden="1" x14ac:dyDescent="0.25">
      <c r="A85" s="48">
        <v>84</v>
      </c>
      <c r="B85" s="49" t="s">
        <v>230</v>
      </c>
      <c r="C85" s="49" t="s">
        <v>231</v>
      </c>
      <c r="D85" s="53" t="s">
        <v>47</v>
      </c>
      <c r="E85" s="53" t="s">
        <v>51</v>
      </c>
      <c r="F85" s="45">
        <f t="shared" si="14"/>
        <v>90</v>
      </c>
      <c r="G85" s="58">
        <f t="shared" si="7"/>
        <v>1.5</v>
      </c>
      <c r="H85" s="5"/>
      <c r="I85" s="5"/>
      <c r="J85" s="5"/>
      <c r="K85" s="5">
        <v>90</v>
      </c>
      <c r="L85" s="5"/>
    </row>
    <row r="86" spans="1:16" ht="15.75" hidden="1" x14ac:dyDescent="0.25">
      <c r="A86" s="48">
        <v>85</v>
      </c>
      <c r="B86" s="49" t="s">
        <v>232</v>
      </c>
      <c r="C86" s="49" t="s">
        <v>233</v>
      </c>
      <c r="D86" s="53" t="s">
        <v>47</v>
      </c>
      <c r="E86" s="53" t="s">
        <v>105</v>
      </c>
      <c r="F86" s="45">
        <f t="shared" si="14"/>
        <v>0</v>
      </c>
      <c r="G86" s="58">
        <f t="shared" si="7"/>
        <v>0</v>
      </c>
      <c r="H86" s="5"/>
      <c r="I86" s="5"/>
      <c r="J86" s="5"/>
      <c r="K86" s="5"/>
      <c r="L86" s="5"/>
    </row>
    <row r="87" spans="1:16" ht="15.75" hidden="1" x14ac:dyDescent="0.25">
      <c r="A87" s="48">
        <v>86</v>
      </c>
      <c r="B87" s="49" t="s">
        <v>234</v>
      </c>
      <c r="C87" s="49" t="s">
        <v>235</v>
      </c>
      <c r="D87" s="53" t="s">
        <v>47</v>
      </c>
      <c r="E87" s="53" t="s">
        <v>56</v>
      </c>
      <c r="F87" s="45">
        <f t="shared" si="14"/>
        <v>90</v>
      </c>
      <c r="G87" s="58">
        <f t="shared" si="7"/>
        <v>1.5</v>
      </c>
      <c r="H87" s="5"/>
      <c r="I87" s="5"/>
      <c r="J87" s="5"/>
      <c r="K87" s="5"/>
      <c r="L87" s="5"/>
      <c r="M87" s="3">
        <v>30</v>
      </c>
      <c r="O87" s="3">
        <v>30</v>
      </c>
      <c r="P87" s="3">
        <v>30</v>
      </c>
    </row>
    <row r="88" spans="1:16" ht="15.75" hidden="1" x14ac:dyDescent="0.25">
      <c r="A88" s="48">
        <v>87</v>
      </c>
      <c r="B88" s="49" t="s">
        <v>236</v>
      </c>
      <c r="C88" s="49" t="s">
        <v>237</v>
      </c>
      <c r="D88" s="53" t="s">
        <v>47</v>
      </c>
      <c r="E88" s="53" t="s">
        <v>48</v>
      </c>
      <c r="F88" s="45">
        <f t="shared" si="14"/>
        <v>170</v>
      </c>
      <c r="G88" s="58">
        <f t="shared" si="7"/>
        <v>2.8333333333333335</v>
      </c>
      <c r="H88" s="5">
        <v>90</v>
      </c>
      <c r="I88" s="5">
        <v>50</v>
      </c>
      <c r="J88" s="5"/>
      <c r="K88" s="5"/>
      <c r="L88" s="5"/>
      <c r="P88" s="3">
        <v>30</v>
      </c>
    </row>
    <row r="89" spans="1:16" ht="15.75" hidden="1" x14ac:dyDescent="0.25">
      <c r="A89" s="48">
        <v>88</v>
      </c>
      <c r="B89" s="49" t="s">
        <v>238</v>
      </c>
      <c r="C89" s="49" t="s">
        <v>239</v>
      </c>
      <c r="D89" s="53" t="s">
        <v>47</v>
      </c>
      <c r="E89" s="53" t="s">
        <v>116</v>
      </c>
      <c r="F89" s="45">
        <f t="shared" si="14"/>
        <v>150</v>
      </c>
      <c r="G89" s="58">
        <f t="shared" si="7"/>
        <v>2.5</v>
      </c>
      <c r="H89" s="5"/>
      <c r="I89" s="5"/>
      <c r="J89" s="5"/>
      <c r="K89" s="5">
        <v>90</v>
      </c>
      <c r="L89" s="5"/>
      <c r="M89" s="3">
        <v>30</v>
      </c>
      <c r="N89" s="3">
        <v>30</v>
      </c>
    </row>
    <row r="90" spans="1:16" ht="15.75" hidden="1" x14ac:dyDescent="0.25">
      <c r="A90" s="48">
        <v>89</v>
      </c>
      <c r="B90" s="49" t="s">
        <v>240</v>
      </c>
      <c r="C90" s="49" t="s">
        <v>241</v>
      </c>
      <c r="D90" s="53" t="s">
        <v>47</v>
      </c>
      <c r="E90" s="53" t="s">
        <v>48</v>
      </c>
      <c r="F90" s="45">
        <f t="shared" si="14"/>
        <v>120</v>
      </c>
      <c r="G90" s="58">
        <f t="shared" si="7"/>
        <v>2</v>
      </c>
      <c r="H90" s="5"/>
      <c r="I90" s="5"/>
      <c r="J90" s="5"/>
      <c r="K90" s="5"/>
      <c r="L90" s="5">
        <v>60</v>
      </c>
      <c r="O90" s="3">
        <v>30</v>
      </c>
      <c r="P90" s="3">
        <v>30</v>
      </c>
    </row>
    <row r="91" spans="1:16" ht="15.75" hidden="1" x14ac:dyDescent="0.25">
      <c r="A91" s="48">
        <v>90</v>
      </c>
      <c r="B91" s="49" t="s">
        <v>242</v>
      </c>
      <c r="C91" s="49" t="s">
        <v>243</v>
      </c>
      <c r="D91" s="53" t="s">
        <v>47</v>
      </c>
      <c r="E91" s="53" t="s">
        <v>76</v>
      </c>
      <c r="F91" s="45">
        <f t="shared" si="14"/>
        <v>90</v>
      </c>
      <c r="G91" s="58">
        <f t="shared" si="7"/>
        <v>1.5</v>
      </c>
      <c r="H91" s="5"/>
      <c r="I91" s="5"/>
      <c r="J91" s="5"/>
      <c r="K91" s="5"/>
      <c r="L91" s="5"/>
      <c r="N91" s="3">
        <v>30</v>
      </c>
      <c r="O91" s="3">
        <v>30</v>
      </c>
      <c r="P91" s="3">
        <v>30</v>
      </c>
    </row>
    <row r="92" spans="1:16" ht="15.75" hidden="1" x14ac:dyDescent="0.25">
      <c r="A92" s="48">
        <v>91</v>
      </c>
      <c r="B92" s="49" t="s">
        <v>244</v>
      </c>
      <c r="C92" s="49" t="s">
        <v>245</v>
      </c>
      <c r="D92" s="53" t="s">
        <v>47</v>
      </c>
      <c r="E92" s="53" t="s">
        <v>51</v>
      </c>
      <c r="F92" s="45">
        <f t="shared" si="14"/>
        <v>360</v>
      </c>
      <c r="G92" s="58">
        <f t="shared" si="7"/>
        <v>6</v>
      </c>
      <c r="H92" s="5">
        <v>90</v>
      </c>
      <c r="I92" s="5"/>
      <c r="J92" s="5">
        <v>60</v>
      </c>
      <c r="K92" s="5">
        <v>90</v>
      </c>
      <c r="L92" s="5"/>
      <c r="M92" s="5">
        <v>30</v>
      </c>
      <c r="N92" s="5">
        <v>30</v>
      </c>
      <c r="O92" s="5">
        <v>30</v>
      </c>
      <c r="P92" s="5">
        <v>30</v>
      </c>
    </row>
    <row r="93" spans="1:16" ht="15.75" hidden="1" x14ac:dyDescent="0.25">
      <c r="A93" s="48">
        <v>92</v>
      </c>
      <c r="B93" s="49" t="s">
        <v>246</v>
      </c>
      <c r="C93" s="49" t="s">
        <v>247</v>
      </c>
      <c r="D93" s="53" t="s">
        <v>82</v>
      </c>
      <c r="E93" s="53" t="s">
        <v>140</v>
      </c>
      <c r="F93" s="45">
        <f t="shared" si="12"/>
        <v>0</v>
      </c>
      <c r="G93" s="58">
        <f t="shared" si="7"/>
        <v>0</v>
      </c>
      <c r="H93" s="5"/>
      <c r="I93" s="5"/>
      <c r="J93" s="5"/>
      <c r="K93" s="5"/>
      <c r="L93" s="5"/>
    </row>
    <row r="94" spans="1:16" ht="15.75" hidden="1" x14ac:dyDescent="0.25">
      <c r="A94" s="48">
        <v>93</v>
      </c>
      <c r="B94" s="49" t="s">
        <v>248</v>
      </c>
      <c r="C94" s="49" t="s">
        <v>249</v>
      </c>
      <c r="D94" s="53" t="s">
        <v>47</v>
      </c>
      <c r="E94" s="53" t="s">
        <v>48</v>
      </c>
      <c r="F94" s="45">
        <f t="shared" ref="F94:F105" si="15">SUM($H94:$P94)</f>
        <v>261</v>
      </c>
      <c r="G94" s="58">
        <f t="shared" si="7"/>
        <v>4.3499999999999996</v>
      </c>
      <c r="H94" s="5"/>
      <c r="I94" s="5">
        <v>81</v>
      </c>
      <c r="J94" s="5"/>
      <c r="K94" s="5">
        <v>90</v>
      </c>
      <c r="L94" s="5"/>
      <c r="M94" s="3">
        <v>30</v>
      </c>
      <c r="N94" s="3">
        <v>30</v>
      </c>
      <c r="P94" s="3">
        <v>30</v>
      </c>
    </row>
    <row r="95" spans="1:16" ht="15.75" hidden="1" x14ac:dyDescent="0.25">
      <c r="A95" s="48">
        <v>94</v>
      </c>
      <c r="B95" s="49" t="s">
        <v>250</v>
      </c>
      <c r="C95" s="49" t="s">
        <v>251</v>
      </c>
      <c r="D95" s="53" t="s">
        <v>47</v>
      </c>
      <c r="E95" s="53" t="s">
        <v>56</v>
      </c>
      <c r="F95" s="45">
        <f t="shared" si="15"/>
        <v>0</v>
      </c>
      <c r="G95" s="58">
        <f t="shared" si="7"/>
        <v>0</v>
      </c>
      <c r="H95" s="5"/>
      <c r="I95" s="5"/>
      <c r="J95" s="5"/>
      <c r="K95" s="5"/>
      <c r="L95" s="5"/>
    </row>
    <row r="96" spans="1:16" ht="15.75" hidden="1" x14ac:dyDescent="0.25">
      <c r="A96" s="48">
        <v>95</v>
      </c>
      <c r="B96" s="49" t="s">
        <v>252</v>
      </c>
      <c r="C96" s="49" t="s">
        <v>253</v>
      </c>
      <c r="D96" s="53" t="s">
        <v>47</v>
      </c>
      <c r="E96" s="53" t="s">
        <v>48</v>
      </c>
      <c r="F96" s="45">
        <f t="shared" si="15"/>
        <v>30</v>
      </c>
      <c r="G96" s="58">
        <f t="shared" si="7"/>
        <v>0.5</v>
      </c>
      <c r="H96" s="5"/>
      <c r="I96" s="5"/>
      <c r="J96" s="5"/>
      <c r="K96" s="5"/>
      <c r="L96" s="5"/>
      <c r="P96" s="3">
        <v>30</v>
      </c>
    </row>
    <row r="97" spans="1:16" ht="15.75" hidden="1" x14ac:dyDescent="0.25">
      <c r="A97" s="48">
        <v>96</v>
      </c>
      <c r="B97" s="49" t="s">
        <v>254</v>
      </c>
      <c r="C97" s="49" t="s">
        <v>255</v>
      </c>
      <c r="D97" s="53" t="s">
        <v>47</v>
      </c>
      <c r="E97" s="53" t="s">
        <v>48</v>
      </c>
      <c r="F97" s="45">
        <f t="shared" si="15"/>
        <v>0</v>
      </c>
      <c r="G97" s="58">
        <f t="shared" si="7"/>
        <v>0</v>
      </c>
      <c r="H97" s="5"/>
      <c r="I97" s="5"/>
      <c r="J97" s="5"/>
      <c r="K97" s="5"/>
      <c r="L97" s="5"/>
    </row>
    <row r="98" spans="1:16" ht="15.75" hidden="1" x14ac:dyDescent="0.25">
      <c r="A98" s="48">
        <v>97</v>
      </c>
      <c r="B98" s="49" t="s">
        <v>256</v>
      </c>
      <c r="C98" s="49" t="s">
        <v>257</v>
      </c>
      <c r="D98" s="53" t="s">
        <v>47</v>
      </c>
      <c r="E98" s="53" t="s">
        <v>76</v>
      </c>
      <c r="F98" s="45">
        <f t="shared" si="15"/>
        <v>60</v>
      </c>
      <c r="G98" s="58">
        <f t="shared" ref="G98:G143" si="16">F98/60</f>
        <v>1</v>
      </c>
      <c r="H98" s="5"/>
      <c r="I98" s="5"/>
      <c r="J98" s="5"/>
      <c r="K98" s="5"/>
      <c r="L98" s="5"/>
      <c r="N98" s="3">
        <v>30</v>
      </c>
      <c r="P98" s="3">
        <v>30</v>
      </c>
    </row>
    <row r="99" spans="1:16" ht="15.75" hidden="1" x14ac:dyDescent="0.25">
      <c r="A99" s="48">
        <v>98</v>
      </c>
      <c r="B99" s="49" t="s">
        <v>258</v>
      </c>
      <c r="C99" s="49" t="s">
        <v>259</v>
      </c>
      <c r="D99" s="53" t="s">
        <v>47</v>
      </c>
      <c r="E99" s="53" t="s">
        <v>48</v>
      </c>
      <c r="F99" s="45">
        <f t="shared" si="15"/>
        <v>60</v>
      </c>
      <c r="G99" s="58">
        <f t="shared" si="16"/>
        <v>1</v>
      </c>
      <c r="H99" s="5"/>
      <c r="I99" s="5"/>
      <c r="J99" s="5"/>
      <c r="K99" s="5"/>
      <c r="L99" s="5"/>
      <c r="O99" s="3">
        <v>30</v>
      </c>
      <c r="P99" s="3">
        <v>30</v>
      </c>
    </row>
    <row r="100" spans="1:16" ht="15.75" hidden="1" x14ac:dyDescent="0.25">
      <c r="A100" s="48">
        <v>99</v>
      </c>
      <c r="B100" s="49" t="s">
        <v>260</v>
      </c>
      <c r="C100" s="49" t="s">
        <v>261</v>
      </c>
      <c r="D100" s="53" t="s">
        <v>47</v>
      </c>
      <c r="E100" s="53" t="s">
        <v>86</v>
      </c>
      <c r="F100" s="45">
        <f t="shared" si="15"/>
        <v>0</v>
      </c>
      <c r="G100" s="58">
        <f t="shared" si="16"/>
        <v>0</v>
      </c>
      <c r="H100" s="5"/>
      <c r="I100" s="5"/>
      <c r="J100" s="5"/>
      <c r="K100" s="5"/>
      <c r="L100" s="5"/>
    </row>
    <row r="101" spans="1:16" ht="15.75" hidden="1" x14ac:dyDescent="0.25">
      <c r="A101" s="48">
        <v>100</v>
      </c>
      <c r="B101" s="49" t="s">
        <v>262</v>
      </c>
      <c r="C101" s="49" t="s">
        <v>263</v>
      </c>
      <c r="D101" s="53" t="s">
        <v>47</v>
      </c>
      <c r="E101" s="53" t="s">
        <v>105</v>
      </c>
      <c r="F101" s="45">
        <f t="shared" si="15"/>
        <v>0</v>
      </c>
      <c r="G101" s="58">
        <f t="shared" si="16"/>
        <v>0</v>
      </c>
      <c r="H101" s="5"/>
      <c r="I101" s="5"/>
      <c r="J101" s="5"/>
      <c r="K101" s="5"/>
      <c r="L101" s="5"/>
    </row>
    <row r="102" spans="1:16" ht="15.75" hidden="1" x14ac:dyDescent="0.25">
      <c r="A102" s="48">
        <v>101</v>
      </c>
      <c r="B102" s="49" t="s">
        <v>264</v>
      </c>
      <c r="C102" s="49" t="s">
        <v>265</v>
      </c>
      <c r="D102" s="53" t="s">
        <v>47</v>
      </c>
      <c r="E102" s="53" t="s">
        <v>48</v>
      </c>
      <c r="F102" s="45">
        <f t="shared" si="15"/>
        <v>0</v>
      </c>
      <c r="G102" s="58">
        <f t="shared" si="16"/>
        <v>0</v>
      </c>
      <c r="H102" s="5"/>
      <c r="I102" s="5"/>
      <c r="J102" s="5"/>
      <c r="K102" s="5"/>
      <c r="L102" s="5"/>
    </row>
    <row r="103" spans="1:16" ht="15.75" hidden="1" x14ac:dyDescent="0.25">
      <c r="A103" s="48">
        <v>102</v>
      </c>
      <c r="B103" s="49" t="s">
        <v>266</v>
      </c>
      <c r="C103" s="49" t="s">
        <v>267</v>
      </c>
      <c r="D103" s="53" t="s">
        <v>47</v>
      </c>
      <c r="E103" s="53" t="s">
        <v>105</v>
      </c>
      <c r="F103" s="45">
        <f t="shared" si="15"/>
        <v>30</v>
      </c>
      <c r="G103" s="58">
        <f t="shared" si="16"/>
        <v>0.5</v>
      </c>
      <c r="H103" s="5"/>
      <c r="I103" s="5"/>
      <c r="J103" s="5"/>
      <c r="K103" s="5"/>
      <c r="L103" s="5"/>
      <c r="P103" s="3">
        <v>30</v>
      </c>
    </row>
    <row r="104" spans="1:16" ht="15.75" hidden="1" x14ac:dyDescent="0.25">
      <c r="A104" s="48">
        <v>103</v>
      </c>
      <c r="B104" s="49" t="s">
        <v>268</v>
      </c>
      <c r="C104" s="49" t="s">
        <v>269</v>
      </c>
      <c r="D104" s="53" t="s">
        <v>47</v>
      </c>
      <c r="E104" s="53" t="s">
        <v>48</v>
      </c>
      <c r="F104" s="45">
        <f t="shared" si="15"/>
        <v>60</v>
      </c>
      <c r="G104" s="58">
        <f t="shared" si="16"/>
        <v>1</v>
      </c>
      <c r="H104" s="5"/>
      <c r="I104" s="5"/>
      <c r="J104" s="5"/>
      <c r="K104" s="5"/>
      <c r="L104" s="5"/>
      <c r="N104" s="3">
        <v>30</v>
      </c>
      <c r="O104" s="3">
        <v>30</v>
      </c>
    </row>
    <row r="105" spans="1:16" ht="15.75" hidden="1" x14ac:dyDescent="0.25">
      <c r="A105" s="48">
        <v>104</v>
      </c>
      <c r="B105" s="49" t="s">
        <v>270</v>
      </c>
      <c r="C105" s="49" t="s">
        <v>271</v>
      </c>
      <c r="D105" s="53" t="s">
        <v>47</v>
      </c>
      <c r="E105" s="53" t="s">
        <v>48</v>
      </c>
      <c r="F105" s="45">
        <f t="shared" si="15"/>
        <v>0</v>
      </c>
      <c r="G105" s="58">
        <f t="shared" si="16"/>
        <v>0</v>
      </c>
      <c r="H105" s="5"/>
      <c r="I105" s="5"/>
      <c r="J105" s="5"/>
      <c r="K105" s="5"/>
      <c r="L105" s="5"/>
    </row>
    <row r="106" spans="1:16" ht="15.75" hidden="1" x14ac:dyDescent="0.25">
      <c r="A106" s="48">
        <v>105</v>
      </c>
      <c r="B106" s="49" t="s">
        <v>272</v>
      </c>
      <c r="C106" s="49" t="s">
        <v>273</v>
      </c>
      <c r="D106" s="53" t="s">
        <v>82</v>
      </c>
      <c r="E106" s="53" t="s">
        <v>83</v>
      </c>
      <c r="F106" s="45">
        <f t="shared" si="12"/>
        <v>0</v>
      </c>
      <c r="G106" s="58">
        <f t="shared" si="16"/>
        <v>0</v>
      </c>
      <c r="H106" s="5"/>
      <c r="I106" s="5"/>
      <c r="J106" s="5"/>
      <c r="K106" s="5"/>
      <c r="L106" s="5"/>
    </row>
    <row r="107" spans="1:16" ht="15.75" hidden="1" x14ac:dyDescent="0.25">
      <c r="A107" s="48">
        <v>106</v>
      </c>
      <c r="B107" s="49" t="s">
        <v>274</v>
      </c>
      <c r="C107" s="49" t="s">
        <v>275</v>
      </c>
      <c r="D107" s="53" t="s">
        <v>47</v>
      </c>
      <c r="E107" s="53" t="s">
        <v>56</v>
      </c>
      <c r="F107" s="45">
        <f t="shared" ref="F107:F126" si="17">SUM($H107:$P107)</f>
        <v>130</v>
      </c>
      <c r="G107" s="58">
        <f t="shared" si="16"/>
        <v>2.1666666666666665</v>
      </c>
      <c r="H107" s="5"/>
      <c r="I107" s="5">
        <v>70</v>
      </c>
      <c r="J107" s="5"/>
      <c r="K107" s="5"/>
      <c r="L107" s="5"/>
      <c r="M107" s="3">
        <v>30</v>
      </c>
      <c r="P107" s="3">
        <v>30</v>
      </c>
    </row>
    <row r="108" spans="1:16" ht="15.75" hidden="1" x14ac:dyDescent="0.25">
      <c r="A108" s="48">
        <v>107</v>
      </c>
      <c r="B108" s="49" t="s">
        <v>276</v>
      </c>
      <c r="C108" s="49" t="s">
        <v>277</v>
      </c>
      <c r="D108" s="53" t="s">
        <v>47</v>
      </c>
      <c r="E108" s="53" t="s">
        <v>105</v>
      </c>
      <c r="F108" s="45">
        <f t="shared" si="17"/>
        <v>0</v>
      </c>
      <c r="G108" s="58">
        <f t="shared" si="16"/>
        <v>0</v>
      </c>
      <c r="H108" s="5"/>
      <c r="I108" s="5"/>
      <c r="J108" s="5"/>
      <c r="K108" s="5"/>
      <c r="L108" s="5"/>
    </row>
    <row r="109" spans="1:16" ht="15.75" hidden="1" x14ac:dyDescent="0.25">
      <c r="A109" s="48">
        <v>108</v>
      </c>
      <c r="B109" s="49" t="s">
        <v>278</v>
      </c>
      <c r="C109" s="49" t="s">
        <v>279</v>
      </c>
      <c r="D109" s="53" t="s">
        <v>47</v>
      </c>
      <c r="E109" s="53" t="s">
        <v>48</v>
      </c>
      <c r="F109" s="45">
        <f t="shared" si="17"/>
        <v>180</v>
      </c>
      <c r="G109" s="58">
        <f t="shared" si="16"/>
        <v>3</v>
      </c>
      <c r="H109" s="5">
        <v>90</v>
      </c>
      <c r="I109" s="5"/>
      <c r="J109" s="5"/>
      <c r="K109" s="5"/>
      <c r="L109" s="5"/>
      <c r="M109" s="3">
        <v>30</v>
      </c>
      <c r="O109" s="3">
        <v>30</v>
      </c>
      <c r="P109" s="3">
        <v>30</v>
      </c>
    </row>
    <row r="110" spans="1:16" ht="15.75" hidden="1" x14ac:dyDescent="0.25">
      <c r="A110" s="48">
        <v>109</v>
      </c>
      <c r="B110" s="49" t="s">
        <v>280</v>
      </c>
      <c r="C110" s="49" t="s">
        <v>281</v>
      </c>
      <c r="D110" s="53" t="s">
        <v>47</v>
      </c>
      <c r="E110" s="53" t="s">
        <v>48</v>
      </c>
      <c r="F110" s="45">
        <f t="shared" si="17"/>
        <v>90</v>
      </c>
      <c r="G110" s="58">
        <f t="shared" si="16"/>
        <v>1.5</v>
      </c>
      <c r="H110" s="5"/>
      <c r="I110" s="5"/>
      <c r="J110" s="5"/>
      <c r="K110" s="5">
        <v>90</v>
      </c>
      <c r="L110" s="5"/>
    </row>
    <row r="111" spans="1:16" ht="15.75" hidden="1" x14ac:dyDescent="0.25">
      <c r="A111" s="48">
        <v>110</v>
      </c>
      <c r="B111" s="49" t="s">
        <v>282</v>
      </c>
      <c r="C111" s="49" t="s">
        <v>283</v>
      </c>
      <c r="D111" s="53" t="s">
        <v>47</v>
      </c>
      <c r="E111" s="53" t="s">
        <v>51</v>
      </c>
      <c r="F111" s="45">
        <f t="shared" si="17"/>
        <v>90</v>
      </c>
      <c r="G111" s="58">
        <f t="shared" si="16"/>
        <v>1.5</v>
      </c>
      <c r="H111" s="5"/>
      <c r="I111" s="5"/>
      <c r="J111" s="5"/>
      <c r="K111" s="5"/>
      <c r="L111" s="5">
        <v>60</v>
      </c>
      <c r="P111" s="3">
        <v>30</v>
      </c>
    </row>
    <row r="112" spans="1:16" ht="15.75" hidden="1" x14ac:dyDescent="0.25">
      <c r="A112" s="48">
        <v>111</v>
      </c>
      <c r="B112" s="49" t="s">
        <v>284</v>
      </c>
      <c r="C112" s="49" t="s">
        <v>285</v>
      </c>
      <c r="D112" s="53" t="s">
        <v>47</v>
      </c>
      <c r="E112" s="53" t="s">
        <v>105</v>
      </c>
      <c r="F112" s="45">
        <f t="shared" si="17"/>
        <v>0</v>
      </c>
      <c r="G112" s="58">
        <f t="shared" si="16"/>
        <v>0</v>
      </c>
      <c r="H112" s="5"/>
      <c r="I112" s="5"/>
      <c r="J112" s="5"/>
      <c r="K112" s="5"/>
      <c r="L112" s="5"/>
    </row>
    <row r="113" spans="1:16" ht="15.75" hidden="1" x14ac:dyDescent="0.25">
      <c r="A113" s="48">
        <v>112</v>
      </c>
      <c r="B113" s="49" t="s">
        <v>286</v>
      </c>
      <c r="C113" s="49" t="s">
        <v>287</v>
      </c>
      <c r="D113" s="53" t="s">
        <v>47</v>
      </c>
      <c r="E113" s="53" t="s">
        <v>48</v>
      </c>
      <c r="F113" s="45">
        <f t="shared" si="17"/>
        <v>0</v>
      </c>
      <c r="G113" s="58">
        <f t="shared" si="16"/>
        <v>0</v>
      </c>
      <c r="H113" s="5"/>
      <c r="I113" s="5"/>
      <c r="J113" s="5"/>
      <c r="K113" s="5"/>
      <c r="L113" s="5"/>
    </row>
    <row r="114" spans="1:16" ht="15.75" hidden="1" x14ac:dyDescent="0.25">
      <c r="A114" s="48">
        <v>113</v>
      </c>
      <c r="B114" s="49" t="s">
        <v>288</v>
      </c>
      <c r="C114" s="49" t="s">
        <v>289</v>
      </c>
      <c r="D114" s="53" t="s">
        <v>47</v>
      </c>
      <c r="E114" s="53" t="s">
        <v>116</v>
      </c>
      <c r="F114" s="45">
        <f t="shared" si="17"/>
        <v>150</v>
      </c>
      <c r="G114" s="58">
        <f t="shared" si="16"/>
        <v>2.5</v>
      </c>
      <c r="H114" s="5">
        <v>90</v>
      </c>
      <c r="I114" s="5"/>
      <c r="J114" s="5"/>
      <c r="K114" s="5"/>
      <c r="L114" s="5"/>
      <c r="M114" s="3">
        <v>30</v>
      </c>
      <c r="N114" s="3">
        <v>30</v>
      </c>
    </row>
    <row r="115" spans="1:16" ht="15.75" hidden="1" x14ac:dyDescent="0.25">
      <c r="A115" s="48">
        <v>114</v>
      </c>
      <c r="B115" s="49" t="s">
        <v>290</v>
      </c>
      <c r="C115" s="49" t="s">
        <v>291</v>
      </c>
      <c r="D115" s="53" t="s">
        <v>47</v>
      </c>
      <c r="E115" s="53" t="s">
        <v>51</v>
      </c>
      <c r="F115" s="45">
        <f t="shared" si="17"/>
        <v>0</v>
      </c>
      <c r="G115" s="58">
        <f t="shared" si="16"/>
        <v>0</v>
      </c>
      <c r="H115" s="5"/>
      <c r="I115" s="5"/>
      <c r="J115" s="5"/>
      <c r="K115" s="5"/>
      <c r="L115" s="5"/>
    </row>
    <row r="116" spans="1:16" ht="15.75" hidden="1" x14ac:dyDescent="0.25">
      <c r="A116" s="48">
        <v>115</v>
      </c>
      <c r="B116" s="49" t="s">
        <v>292</v>
      </c>
      <c r="C116" s="49" t="s">
        <v>293</v>
      </c>
      <c r="D116" s="53" t="s">
        <v>47</v>
      </c>
      <c r="E116" s="53" t="s">
        <v>51</v>
      </c>
      <c r="F116" s="45">
        <f t="shared" si="17"/>
        <v>0</v>
      </c>
      <c r="G116" s="58">
        <f t="shared" si="16"/>
        <v>0</v>
      </c>
      <c r="H116" s="5"/>
      <c r="I116" s="5"/>
      <c r="J116" s="5"/>
      <c r="K116" s="5"/>
      <c r="L116" s="5"/>
    </row>
    <row r="117" spans="1:16" ht="15.75" hidden="1" x14ac:dyDescent="0.25">
      <c r="A117" s="48">
        <v>116</v>
      </c>
      <c r="B117" s="49" t="s">
        <v>294</v>
      </c>
      <c r="C117" s="49" t="s">
        <v>295</v>
      </c>
      <c r="D117" s="53" t="s">
        <v>47</v>
      </c>
      <c r="E117" s="53" t="s">
        <v>76</v>
      </c>
      <c r="F117" s="45">
        <f t="shared" si="17"/>
        <v>120</v>
      </c>
      <c r="G117" s="58">
        <f t="shared" si="16"/>
        <v>2</v>
      </c>
      <c r="H117" s="5"/>
      <c r="I117" s="5"/>
      <c r="J117" s="5"/>
      <c r="K117" s="5">
        <v>90</v>
      </c>
      <c r="L117" s="5"/>
      <c r="P117" s="3">
        <v>30</v>
      </c>
    </row>
    <row r="118" spans="1:16" ht="15.75" hidden="1" x14ac:dyDescent="0.25">
      <c r="A118" s="48">
        <v>117</v>
      </c>
      <c r="B118" s="49" t="s">
        <v>296</v>
      </c>
      <c r="C118" s="49" t="s">
        <v>297</v>
      </c>
      <c r="D118" s="53" t="s">
        <v>47</v>
      </c>
      <c r="E118" s="53" t="s">
        <v>116</v>
      </c>
      <c r="F118" s="45">
        <f t="shared" si="17"/>
        <v>0</v>
      </c>
      <c r="G118" s="58">
        <f t="shared" si="16"/>
        <v>0</v>
      </c>
      <c r="H118" s="5"/>
      <c r="I118" s="5"/>
      <c r="J118" s="5"/>
      <c r="K118" s="5"/>
      <c r="L118" s="5"/>
    </row>
    <row r="119" spans="1:16" ht="15.75" hidden="1" x14ac:dyDescent="0.25">
      <c r="A119" s="48">
        <v>118</v>
      </c>
      <c r="B119" s="49" t="s">
        <v>298</v>
      </c>
      <c r="C119" s="49" t="s">
        <v>299</v>
      </c>
      <c r="D119" s="53" t="s">
        <v>47</v>
      </c>
      <c r="E119" s="53" t="s">
        <v>48</v>
      </c>
      <c r="F119" s="45">
        <f t="shared" si="17"/>
        <v>189</v>
      </c>
      <c r="G119" s="58">
        <f t="shared" si="16"/>
        <v>3.15</v>
      </c>
      <c r="H119" s="5">
        <v>90</v>
      </c>
      <c r="I119" s="5">
        <v>69</v>
      </c>
      <c r="J119" s="5"/>
      <c r="K119" s="5"/>
      <c r="L119" s="5"/>
      <c r="P119" s="3">
        <v>30</v>
      </c>
    </row>
    <row r="120" spans="1:16" ht="15.75" hidden="1" x14ac:dyDescent="0.25">
      <c r="A120" s="48">
        <v>119</v>
      </c>
      <c r="B120" s="49" t="s">
        <v>300</v>
      </c>
      <c r="C120" s="49" t="s">
        <v>301</v>
      </c>
      <c r="D120" s="53" t="s">
        <v>47</v>
      </c>
      <c r="E120" s="53" t="s">
        <v>48</v>
      </c>
      <c r="F120" s="45">
        <f t="shared" si="17"/>
        <v>0</v>
      </c>
      <c r="G120" s="58">
        <f t="shared" si="16"/>
        <v>0</v>
      </c>
      <c r="H120" s="5"/>
      <c r="I120" s="5"/>
      <c r="J120" s="5"/>
      <c r="K120" s="5"/>
      <c r="L120" s="5"/>
    </row>
    <row r="121" spans="1:16" ht="15.75" hidden="1" x14ac:dyDescent="0.25">
      <c r="A121" s="48">
        <v>120</v>
      </c>
      <c r="B121" s="49" t="s">
        <v>302</v>
      </c>
      <c r="C121" s="49" t="s">
        <v>303</v>
      </c>
      <c r="D121" s="53" t="s">
        <v>47</v>
      </c>
      <c r="E121" s="53" t="s">
        <v>48</v>
      </c>
      <c r="F121" s="45">
        <f t="shared" si="17"/>
        <v>90</v>
      </c>
      <c r="G121" s="58">
        <f t="shared" si="16"/>
        <v>1.5</v>
      </c>
      <c r="H121" s="5"/>
      <c r="I121" s="5"/>
      <c r="J121" s="5"/>
      <c r="K121" s="5"/>
      <c r="L121" s="5"/>
      <c r="M121" s="3">
        <v>30</v>
      </c>
      <c r="N121" s="3">
        <v>30</v>
      </c>
      <c r="P121" s="3">
        <v>30</v>
      </c>
    </row>
    <row r="122" spans="1:16" ht="15.75" hidden="1" x14ac:dyDescent="0.25">
      <c r="A122" s="48">
        <v>121</v>
      </c>
      <c r="B122" s="49" t="s">
        <v>304</v>
      </c>
      <c r="C122" s="49" t="s">
        <v>305</v>
      </c>
      <c r="D122" s="53" t="s">
        <v>47</v>
      </c>
      <c r="E122" s="53" t="s">
        <v>86</v>
      </c>
      <c r="F122" s="45">
        <f t="shared" si="17"/>
        <v>0</v>
      </c>
      <c r="G122" s="58">
        <f t="shared" si="16"/>
        <v>0</v>
      </c>
      <c r="H122" s="5"/>
      <c r="I122" s="5"/>
      <c r="J122" s="5"/>
      <c r="K122" s="5"/>
      <c r="L122" s="5"/>
    </row>
    <row r="123" spans="1:16" ht="15.75" hidden="1" x14ac:dyDescent="0.25">
      <c r="A123" s="48">
        <v>122</v>
      </c>
      <c r="B123" s="49" t="s">
        <v>306</v>
      </c>
      <c r="C123" s="49" t="s">
        <v>307</v>
      </c>
      <c r="D123" s="53" t="s">
        <v>47</v>
      </c>
      <c r="E123" s="53" t="s">
        <v>48</v>
      </c>
      <c r="F123" s="45">
        <f t="shared" si="17"/>
        <v>382</v>
      </c>
      <c r="G123" s="58">
        <f t="shared" si="16"/>
        <v>6.3666666666666663</v>
      </c>
      <c r="H123" s="5">
        <v>90</v>
      </c>
      <c r="I123" s="5">
        <v>82</v>
      </c>
      <c r="J123" s="5"/>
      <c r="K123" s="5">
        <v>90</v>
      </c>
      <c r="L123" s="5"/>
      <c r="M123" s="3">
        <v>30</v>
      </c>
      <c r="N123" s="3">
        <v>30</v>
      </c>
      <c r="O123" s="3">
        <v>30</v>
      </c>
      <c r="P123" s="3">
        <v>30</v>
      </c>
    </row>
    <row r="124" spans="1:16" ht="15.75" hidden="1" x14ac:dyDescent="0.25">
      <c r="A124" s="48">
        <v>123</v>
      </c>
      <c r="B124" s="49" t="s">
        <v>308</v>
      </c>
      <c r="C124" s="49" t="s">
        <v>309</v>
      </c>
      <c r="D124" s="53" t="s">
        <v>47</v>
      </c>
      <c r="E124" s="53" t="s">
        <v>105</v>
      </c>
      <c r="F124" s="45">
        <f t="shared" si="17"/>
        <v>0</v>
      </c>
      <c r="G124" s="58">
        <f t="shared" si="16"/>
        <v>0</v>
      </c>
      <c r="H124" s="5"/>
      <c r="I124" s="5"/>
      <c r="J124" s="5"/>
      <c r="K124" s="5"/>
      <c r="L124" s="5"/>
    </row>
    <row r="125" spans="1:16" ht="15.75" hidden="1" x14ac:dyDescent="0.25">
      <c r="A125" s="48">
        <v>124</v>
      </c>
      <c r="B125" s="49" t="s">
        <v>310</v>
      </c>
      <c r="C125" s="49" t="s">
        <v>311</v>
      </c>
      <c r="D125" s="53" t="s">
        <v>47</v>
      </c>
      <c r="E125" s="53" t="s">
        <v>205</v>
      </c>
      <c r="F125" s="45">
        <f t="shared" si="17"/>
        <v>90</v>
      </c>
      <c r="G125" s="58">
        <f t="shared" si="16"/>
        <v>1.5</v>
      </c>
      <c r="H125" s="5">
        <v>90</v>
      </c>
      <c r="I125" s="5"/>
      <c r="J125" s="5"/>
      <c r="K125" s="5"/>
      <c r="L125" s="5"/>
    </row>
    <row r="126" spans="1:16" ht="15.75" hidden="1" x14ac:dyDescent="0.25">
      <c r="A126" s="48">
        <v>125</v>
      </c>
      <c r="B126" s="49" t="s">
        <v>312</v>
      </c>
      <c r="C126" s="49" t="s">
        <v>313</v>
      </c>
      <c r="D126" s="53" t="s">
        <v>47</v>
      </c>
      <c r="E126" s="53" t="s">
        <v>51</v>
      </c>
      <c r="F126" s="45">
        <f t="shared" si="17"/>
        <v>30</v>
      </c>
      <c r="G126" s="58">
        <f t="shared" si="16"/>
        <v>0.5</v>
      </c>
      <c r="H126" s="5"/>
      <c r="I126" s="5"/>
      <c r="J126" s="5"/>
      <c r="K126" s="5"/>
      <c r="L126" s="5"/>
      <c r="P126" s="3">
        <v>30</v>
      </c>
    </row>
    <row r="127" spans="1:16" ht="15.75" hidden="1" x14ac:dyDescent="0.25">
      <c r="A127" s="48">
        <v>126</v>
      </c>
      <c r="B127" s="49" t="s">
        <v>314</v>
      </c>
      <c r="C127" s="49" t="s">
        <v>315</v>
      </c>
      <c r="D127" s="53" t="s">
        <v>82</v>
      </c>
      <c r="E127" s="53" t="s">
        <v>140</v>
      </c>
      <c r="F127" s="45">
        <f t="shared" si="12"/>
        <v>0</v>
      </c>
      <c r="G127" s="58">
        <f t="shared" si="16"/>
        <v>0</v>
      </c>
      <c r="H127" s="5"/>
      <c r="I127" s="5"/>
      <c r="J127" s="5"/>
      <c r="K127" s="5"/>
      <c r="L127" s="5"/>
    </row>
    <row r="128" spans="1:16" ht="15.75" hidden="1" x14ac:dyDescent="0.25">
      <c r="A128" s="48">
        <v>127</v>
      </c>
      <c r="B128" s="49" t="s">
        <v>316</v>
      </c>
      <c r="C128" s="49" t="s">
        <v>317</v>
      </c>
      <c r="D128" s="53" t="s">
        <v>47</v>
      </c>
      <c r="E128" s="53" t="s">
        <v>76</v>
      </c>
      <c r="F128" s="45">
        <f t="shared" ref="F128:F132" si="18">SUM($H128:$P128)</f>
        <v>30</v>
      </c>
      <c r="G128" s="58">
        <f t="shared" si="16"/>
        <v>0.5</v>
      </c>
      <c r="H128" s="5"/>
      <c r="I128" s="5"/>
      <c r="J128" s="5"/>
      <c r="K128" s="5"/>
      <c r="L128" s="5"/>
      <c r="O128" s="3">
        <v>30</v>
      </c>
    </row>
    <row r="129" spans="1:16" ht="15.75" hidden="1" x14ac:dyDescent="0.25">
      <c r="A129" s="48">
        <v>128</v>
      </c>
      <c r="B129" s="49" t="s">
        <v>318</v>
      </c>
      <c r="C129" s="49" t="s">
        <v>319</v>
      </c>
      <c r="D129" s="53" t="s">
        <v>47</v>
      </c>
      <c r="E129" s="53" t="s">
        <v>51</v>
      </c>
      <c r="F129" s="45">
        <f t="shared" si="18"/>
        <v>0</v>
      </c>
      <c r="G129" s="58">
        <f t="shared" si="16"/>
        <v>0</v>
      </c>
      <c r="H129" s="5"/>
      <c r="I129" s="5"/>
      <c r="J129" s="5"/>
      <c r="K129" s="5"/>
      <c r="L129" s="5"/>
    </row>
    <row r="130" spans="1:16" ht="15.75" hidden="1" x14ac:dyDescent="0.25">
      <c r="A130" s="48">
        <v>129</v>
      </c>
      <c r="B130" s="49" t="s">
        <v>320</v>
      </c>
      <c r="C130" s="49" t="s">
        <v>321</v>
      </c>
      <c r="D130" s="53" t="s">
        <v>47</v>
      </c>
      <c r="E130" s="53" t="s">
        <v>48</v>
      </c>
      <c r="F130" s="45">
        <f t="shared" si="18"/>
        <v>120</v>
      </c>
      <c r="G130" s="58">
        <f t="shared" si="16"/>
        <v>2</v>
      </c>
      <c r="H130" s="5"/>
      <c r="I130" s="5"/>
      <c r="J130" s="5"/>
      <c r="K130" s="5"/>
      <c r="L130" s="5">
        <v>60</v>
      </c>
      <c r="O130" s="3">
        <v>30</v>
      </c>
      <c r="P130" s="3">
        <v>30</v>
      </c>
    </row>
    <row r="131" spans="1:16" ht="15.75" hidden="1" x14ac:dyDescent="0.25">
      <c r="A131" s="48">
        <v>130</v>
      </c>
      <c r="B131" s="49" t="s">
        <v>322</v>
      </c>
      <c r="C131" s="49" t="s">
        <v>323</v>
      </c>
      <c r="D131" s="53" t="s">
        <v>47</v>
      </c>
      <c r="E131" s="53" t="s">
        <v>48</v>
      </c>
      <c r="F131" s="45">
        <f t="shared" si="18"/>
        <v>180</v>
      </c>
      <c r="G131" s="58">
        <f t="shared" si="16"/>
        <v>3</v>
      </c>
      <c r="H131" s="5"/>
      <c r="I131" s="5"/>
      <c r="J131" s="5"/>
      <c r="K131" s="5">
        <v>90</v>
      </c>
      <c r="L131" s="5"/>
      <c r="M131" s="3">
        <v>30</v>
      </c>
      <c r="N131" s="3">
        <v>30</v>
      </c>
      <c r="P131" s="3">
        <v>30</v>
      </c>
    </row>
    <row r="132" spans="1:16" ht="15.75" hidden="1" x14ac:dyDescent="0.25">
      <c r="A132" s="48">
        <v>131</v>
      </c>
      <c r="B132" s="49" t="s">
        <v>324</v>
      </c>
      <c r="C132" s="49" t="s">
        <v>325</v>
      </c>
      <c r="D132" s="53" t="s">
        <v>47</v>
      </c>
      <c r="E132" s="53" t="s">
        <v>48</v>
      </c>
      <c r="F132" s="45">
        <f t="shared" si="18"/>
        <v>30</v>
      </c>
      <c r="G132" s="58">
        <f t="shared" si="16"/>
        <v>0.5</v>
      </c>
      <c r="H132" s="5"/>
      <c r="I132" s="5"/>
      <c r="J132" s="5"/>
      <c r="K132" s="5"/>
      <c r="L132" s="5"/>
      <c r="P132" s="3">
        <v>30</v>
      </c>
    </row>
    <row r="133" spans="1:16" ht="15.75" hidden="1" x14ac:dyDescent="0.25">
      <c r="A133" s="48">
        <v>132</v>
      </c>
      <c r="B133" s="49" t="s">
        <v>326</v>
      </c>
      <c r="C133" s="49" t="s">
        <v>327</v>
      </c>
      <c r="D133" s="53" t="s">
        <v>64</v>
      </c>
      <c r="E133" s="53" t="s">
        <v>65</v>
      </c>
      <c r="F133" s="45">
        <f t="shared" ref="F133:F180" si="19">SUM($H133:$K133)</f>
        <v>0</v>
      </c>
      <c r="G133" s="58">
        <f t="shared" si="16"/>
        <v>0</v>
      </c>
      <c r="H133" s="5"/>
      <c r="I133" s="5"/>
      <c r="J133" s="5"/>
      <c r="K133" s="5"/>
      <c r="L133" s="5"/>
    </row>
    <row r="134" spans="1:16" ht="15.75" hidden="1" x14ac:dyDescent="0.25">
      <c r="A134" s="48">
        <v>133</v>
      </c>
      <c r="B134" s="49" t="s">
        <v>328</v>
      </c>
      <c r="C134" s="49" t="s">
        <v>329</v>
      </c>
      <c r="D134" s="53" t="s">
        <v>47</v>
      </c>
      <c r="E134" s="53" t="s">
        <v>86</v>
      </c>
      <c r="F134" s="45">
        <f t="shared" ref="F134:F143" si="20">SUM($H134:$P134)</f>
        <v>0</v>
      </c>
      <c r="G134" s="58">
        <f t="shared" si="16"/>
        <v>0</v>
      </c>
      <c r="H134" s="5"/>
      <c r="I134" s="5"/>
      <c r="J134" s="5"/>
      <c r="K134" s="5"/>
      <c r="L134" s="5"/>
    </row>
    <row r="135" spans="1:16" ht="15.75" hidden="1" x14ac:dyDescent="0.25">
      <c r="A135" s="48">
        <v>134</v>
      </c>
      <c r="B135" s="49" t="s">
        <v>330</v>
      </c>
      <c r="C135" s="49" t="s">
        <v>331</v>
      </c>
      <c r="D135" s="53" t="s">
        <v>47</v>
      </c>
      <c r="E135" s="53" t="s">
        <v>105</v>
      </c>
      <c r="F135" s="45">
        <f t="shared" si="20"/>
        <v>0</v>
      </c>
      <c r="G135" s="58">
        <f t="shared" si="16"/>
        <v>0</v>
      </c>
      <c r="H135" s="5"/>
      <c r="I135" s="5"/>
      <c r="J135" s="5"/>
      <c r="K135" s="5"/>
      <c r="L135" s="5"/>
    </row>
    <row r="136" spans="1:16" ht="15.75" hidden="1" x14ac:dyDescent="0.25">
      <c r="A136" s="48">
        <v>135</v>
      </c>
      <c r="B136" s="49" t="s">
        <v>332</v>
      </c>
      <c r="C136" s="49" t="s">
        <v>333</v>
      </c>
      <c r="D136" s="53" t="s">
        <v>47</v>
      </c>
      <c r="E136" s="53" t="s">
        <v>48</v>
      </c>
      <c r="F136" s="45">
        <f t="shared" si="20"/>
        <v>90</v>
      </c>
      <c r="G136" s="58">
        <f t="shared" si="16"/>
        <v>1.5</v>
      </c>
      <c r="H136" s="5"/>
      <c r="I136" s="5"/>
      <c r="J136" s="5"/>
      <c r="K136" s="5">
        <v>90</v>
      </c>
      <c r="L136" s="5"/>
    </row>
    <row r="137" spans="1:16" ht="15.75" hidden="1" x14ac:dyDescent="0.25">
      <c r="A137" s="48">
        <v>136</v>
      </c>
      <c r="B137" s="49" t="s">
        <v>334</v>
      </c>
      <c r="C137" s="49" t="s">
        <v>335</v>
      </c>
      <c r="D137" s="53" t="s">
        <v>47</v>
      </c>
      <c r="E137" s="53" t="s">
        <v>48</v>
      </c>
      <c r="F137" s="45">
        <f t="shared" si="20"/>
        <v>0</v>
      </c>
      <c r="G137" s="58">
        <f t="shared" si="16"/>
        <v>0</v>
      </c>
      <c r="H137" s="5"/>
      <c r="I137" s="5"/>
      <c r="J137" s="5"/>
      <c r="K137" s="5"/>
      <c r="L137" s="5"/>
    </row>
    <row r="138" spans="1:16" ht="15.75" hidden="1" x14ac:dyDescent="0.25">
      <c r="A138" s="48">
        <v>137</v>
      </c>
      <c r="B138" s="49" t="s">
        <v>336</v>
      </c>
      <c r="C138" s="49" t="s">
        <v>337</v>
      </c>
      <c r="D138" s="53" t="s">
        <v>47</v>
      </c>
      <c r="E138" s="53" t="s">
        <v>76</v>
      </c>
      <c r="F138" s="45">
        <f t="shared" si="20"/>
        <v>93</v>
      </c>
      <c r="G138" s="58">
        <f t="shared" si="16"/>
        <v>1.55</v>
      </c>
      <c r="H138" s="5"/>
      <c r="I138" s="5">
        <v>63</v>
      </c>
      <c r="J138" s="5"/>
      <c r="K138" s="5"/>
      <c r="L138" s="5"/>
      <c r="O138" s="3">
        <v>30</v>
      </c>
    </row>
    <row r="139" spans="1:16" ht="15.75" hidden="1" x14ac:dyDescent="0.25">
      <c r="A139" s="48">
        <v>138</v>
      </c>
      <c r="B139" s="49" t="s">
        <v>338</v>
      </c>
      <c r="C139" s="49" t="s">
        <v>339</v>
      </c>
      <c r="D139" s="53" t="s">
        <v>47</v>
      </c>
      <c r="E139" s="53" t="s">
        <v>48</v>
      </c>
      <c r="F139" s="45">
        <f t="shared" si="20"/>
        <v>0</v>
      </c>
      <c r="G139" s="58">
        <f t="shared" si="16"/>
        <v>0</v>
      </c>
      <c r="H139" s="5"/>
      <c r="I139" s="5"/>
      <c r="J139" s="5"/>
      <c r="K139" s="5"/>
      <c r="L139" s="5"/>
    </row>
    <row r="140" spans="1:16" ht="15.75" hidden="1" x14ac:dyDescent="0.25">
      <c r="A140" s="48">
        <v>139</v>
      </c>
      <c r="B140" s="49" t="s">
        <v>340</v>
      </c>
      <c r="C140" s="49" t="s">
        <v>341</v>
      </c>
      <c r="D140" s="53" t="s">
        <v>47</v>
      </c>
      <c r="E140" s="53" t="s">
        <v>51</v>
      </c>
      <c r="F140" s="45">
        <f t="shared" si="20"/>
        <v>218</v>
      </c>
      <c r="G140" s="58">
        <f t="shared" si="16"/>
        <v>3.6333333333333333</v>
      </c>
      <c r="H140" s="5"/>
      <c r="I140" s="5">
        <v>8</v>
      </c>
      <c r="J140" s="5"/>
      <c r="K140" s="5">
        <v>90</v>
      </c>
      <c r="L140" s="5">
        <v>60</v>
      </c>
      <c r="N140" s="3">
        <v>30</v>
      </c>
      <c r="P140" s="3">
        <v>30</v>
      </c>
    </row>
    <row r="141" spans="1:16" ht="15.75" hidden="1" x14ac:dyDescent="0.25">
      <c r="A141" s="48">
        <v>140</v>
      </c>
      <c r="B141" s="49" t="s">
        <v>342</v>
      </c>
      <c r="C141" s="49" t="s">
        <v>343</v>
      </c>
      <c r="D141" s="53" t="s">
        <v>47</v>
      </c>
      <c r="E141" s="53" t="s">
        <v>76</v>
      </c>
      <c r="F141" s="45">
        <f t="shared" si="20"/>
        <v>0</v>
      </c>
      <c r="G141" s="58">
        <f t="shared" si="16"/>
        <v>0</v>
      </c>
      <c r="H141" s="5"/>
      <c r="I141" s="5"/>
      <c r="J141" s="5"/>
      <c r="K141" s="5"/>
      <c r="L141" s="5"/>
    </row>
    <row r="142" spans="1:16" ht="15.75" hidden="1" x14ac:dyDescent="0.25">
      <c r="A142" s="48">
        <v>141</v>
      </c>
      <c r="B142" s="49" t="s">
        <v>344</v>
      </c>
      <c r="C142" s="49" t="s">
        <v>345</v>
      </c>
      <c r="D142" s="53" t="s">
        <v>47</v>
      </c>
      <c r="E142" s="53" t="s">
        <v>86</v>
      </c>
      <c r="F142" s="45">
        <f t="shared" si="20"/>
        <v>150</v>
      </c>
      <c r="G142" s="58">
        <f t="shared" si="16"/>
        <v>2.5</v>
      </c>
      <c r="H142" s="5"/>
      <c r="I142" s="5"/>
      <c r="J142" s="5">
        <v>60</v>
      </c>
      <c r="K142" s="5"/>
      <c r="L142" s="5"/>
      <c r="N142" s="3">
        <v>30</v>
      </c>
      <c r="O142" s="3">
        <v>30</v>
      </c>
      <c r="P142" s="3">
        <v>30</v>
      </c>
    </row>
    <row r="143" spans="1:16" ht="15.75" hidden="1" x14ac:dyDescent="0.25">
      <c r="A143" s="48">
        <v>142</v>
      </c>
      <c r="B143" s="49" t="s">
        <v>346</v>
      </c>
      <c r="C143" s="49" t="s">
        <v>347</v>
      </c>
      <c r="D143" s="53" t="s">
        <v>47</v>
      </c>
      <c r="E143" s="53" t="s">
        <v>51</v>
      </c>
      <c r="F143" s="45">
        <f t="shared" si="20"/>
        <v>0</v>
      </c>
      <c r="G143" s="58">
        <f t="shared" si="16"/>
        <v>0</v>
      </c>
      <c r="H143" s="5"/>
      <c r="I143" s="5"/>
      <c r="J143" s="5"/>
      <c r="K143" s="5"/>
      <c r="L143" s="5"/>
    </row>
    <row r="144" spans="1:16" ht="15.75" hidden="1" x14ac:dyDescent="0.25">
      <c r="A144" s="48">
        <v>143</v>
      </c>
      <c r="B144" s="49" t="s">
        <v>348</v>
      </c>
      <c r="C144" s="49" t="s">
        <v>349</v>
      </c>
      <c r="D144" s="53" t="s">
        <v>123</v>
      </c>
      <c r="E144" s="53" t="s">
        <v>123</v>
      </c>
      <c r="F144" s="45">
        <f t="shared" si="19"/>
        <v>0</v>
      </c>
      <c r="G144" s="57"/>
      <c r="H144" s="5"/>
      <c r="I144" s="5"/>
      <c r="J144" s="5"/>
      <c r="K144" s="5"/>
      <c r="L144" s="5"/>
      <c r="M144"/>
      <c r="N144"/>
      <c r="O144"/>
      <c r="P144"/>
    </row>
    <row r="145" spans="1:16" ht="15.75" hidden="1" x14ac:dyDescent="0.25">
      <c r="A145" s="48">
        <v>144</v>
      </c>
      <c r="B145" s="49" t="s">
        <v>350</v>
      </c>
      <c r="C145" s="49" t="s">
        <v>351</v>
      </c>
      <c r="D145" s="53" t="s">
        <v>47</v>
      </c>
      <c r="E145" s="53" t="s">
        <v>48</v>
      </c>
      <c r="F145" s="45">
        <f t="shared" ref="F145:F148" si="21">SUM($H145:$P145)</f>
        <v>30</v>
      </c>
      <c r="G145" s="58">
        <f t="shared" ref="G145:G208" si="22">F145/60</f>
        <v>0.5</v>
      </c>
      <c r="H145" s="5"/>
      <c r="I145" s="5"/>
      <c r="J145" s="5"/>
      <c r="K145" s="5"/>
      <c r="L145" s="5"/>
      <c r="O145" s="3">
        <v>30</v>
      </c>
    </row>
    <row r="146" spans="1:16" ht="15.75" hidden="1" x14ac:dyDescent="0.25">
      <c r="A146" s="48">
        <v>145</v>
      </c>
      <c r="B146" s="49" t="s">
        <v>352</v>
      </c>
      <c r="C146" s="49" t="s">
        <v>353</v>
      </c>
      <c r="D146" s="53" t="s">
        <v>47</v>
      </c>
      <c r="E146" s="53" t="s">
        <v>48</v>
      </c>
      <c r="F146" s="45">
        <f t="shared" si="21"/>
        <v>60</v>
      </c>
      <c r="G146" s="58">
        <f t="shared" si="22"/>
        <v>1</v>
      </c>
      <c r="H146" s="5"/>
      <c r="I146" s="5"/>
      <c r="J146" s="5"/>
      <c r="K146" s="5"/>
      <c r="L146" s="5"/>
      <c r="N146" s="3">
        <v>30</v>
      </c>
      <c r="O146" s="3">
        <v>30</v>
      </c>
    </row>
    <row r="147" spans="1:16" ht="15.75" hidden="1" x14ac:dyDescent="0.25">
      <c r="A147" s="48">
        <v>146</v>
      </c>
      <c r="B147" s="49" t="s">
        <v>354</v>
      </c>
      <c r="C147" s="49" t="s">
        <v>355</v>
      </c>
      <c r="D147" s="53" t="s">
        <v>47</v>
      </c>
      <c r="E147" s="53" t="s">
        <v>51</v>
      </c>
      <c r="F147" s="45">
        <f t="shared" si="21"/>
        <v>0</v>
      </c>
      <c r="G147" s="58">
        <f t="shared" si="22"/>
        <v>0</v>
      </c>
      <c r="H147" s="5"/>
      <c r="I147" s="5"/>
      <c r="J147" s="5"/>
      <c r="K147" s="5"/>
      <c r="L147" s="5"/>
    </row>
    <row r="148" spans="1:16" ht="15.75" hidden="1" x14ac:dyDescent="0.25">
      <c r="A148" s="48">
        <v>147</v>
      </c>
      <c r="B148" s="49" t="s">
        <v>356</v>
      </c>
      <c r="C148" s="49" t="s">
        <v>357</v>
      </c>
      <c r="D148" s="53" t="s">
        <v>47</v>
      </c>
      <c r="E148" s="53" t="s">
        <v>51</v>
      </c>
      <c r="F148" s="45">
        <f t="shared" si="21"/>
        <v>90</v>
      </c>
      <c r="G148" s="58">
        <f t="shared" si="22"/>
        <v>1.5</v>
      </c>
      <c r="H148" s="5"/>
      <c r="I148" s="5"/>
      <c r="J148" s="5"/>
      <c r="K148" s="5"/>
      <c r="L148" s="5"/>
      <c r="M148" s="3">
        <v>30</v>
      </c>
      <c r="O148" s="3">
        <v>30</v>
      </c>
      <c r="P148" s="3">
        <v>30</v>
      </c>
    </row>
    <row r="149" spans="1:16" ht="15.75" hidden="1" x14ac:dyDescent="0.25">
      <c r="A149" s="48">
        <v>148</v>
      </c>
      <c r="B149" s="49" t="s">
        <v>358</v>
      </c>
      <c r="C149" s="49" t="s">
        <v>359</v>
      </c>
      <c r="D149" s="53" t="s">
        <v>64</v>
      </c>
      <c r="E149" s="53" t="s">
        <v>186</v>
      </c>
      <c r="F149" s="45">
        <f t="shared" si="19"/>
        <v>90</v>
      </c>
      <c r="G149" s="58">
        <f t="shared" si="22"/>
        <v>1.5</v>
      </c>
      <c r="H149" s="5"/>
      <c r="I149" s="5"/>
      <c r="J149" s="5"/>
      <c r="K149" s="5">
        <v>90</v>
      </c>
      <c r="L149" s="5"/>
    </row>
    <row r="150" spans="1:16" ht="15.75" hidden="1" x14ac:dyDescent="0.25">
      <c r="A150" s="48">
        <v>149</v>
      </c>
      <c r="B150" s="49" t="s">
        <v>360</v>
      </c>
      <c r="C150" s="49" t="s">
        <v>361</v>
      </c>
      <c r="D150" s="53" t="s">
        <v>47</v>
      </c>
      <c r="E150" s="53" t="s">
        <v>56</v>
      </c>
      <c r="F150" s="45">
        <f t="shared" ref="F150:F155" si="23">SUM($H150:$P150)</f>
        <v>0</v>
      </c>
      <c r="G150" s="58">
        <f t="shared" si="22"/>
        <v>0</v>
      </c>
      <c r="H150" s="5"/>
      <c r="I150" s="5"/>
      <c r="J150" s="5"/>
      <c r="K150" s="5"/>
      <c r="L150" s="5"/>
    </row>
    <row r="151" spans="1:16" ht="15.75" hidden="1" x14ac:dyDescent="0.25">
      <c r="A151" s="48">
        <v>150</v>
      </c>
      <c r="B151" s="49" t="s">
        <v>362</v>
      </c>
      <c r="C151" s="49" t="s">
        <v>363</v>
      </c>
      <c r="D151" s="53" t="s">
        <v>47</v>
      </c>
      <c r="E151" s="53" t="s">
        <v>105</v>
      </c>
      <c r="F151" s="45">
        <f t="shared" si="23"/>
        <v>0</v>
      </c>
      <c r="G151" s="58">
        <f t="shared" si="22"/>
        <v>0</v>
      </c>
      <c r="H151" s="5"/>
      <c r="I151" s="5"/>
      <c r="J151" s="5"/>
      <c r="K151" s="5"/>
      <c r="L151" s="5"/>
    </row>
    <row r="152" spans="1:16" ht="15.75" hidden="1" x14ac:dyDescent="0.25">
      <c r="A152" s="48">
        <v>151</v>
      </c>
      <c r="B152" s="49" t="s">
        <v>364</v>
      </c>
      <c r="C152" s="49" t="s">
        <v>365</v>
      </c>
      <c r="D152" s="53" t="s">
        <v>47</v>
      </c>
      <c r="E152" s="53" t="s">
        <v>48</v>
      </c>
      <c r="F152" s="45">
        <f t="shared" si="23"/>
        <v>0</v>
      </c>
      <c r="G152" s="58">
        <f t="shared" si="22"/>
        <v>0</v>
      </c>
      <c r="H152" s="5"/>
      <c r="I152" s="5"/>
      <c r="J152" s="5"/>
      <c r="K152" s="5"/>
      <c r="L152" s="5"/>
    </row>
    <row r="153" spans="1:16" ht="15.75" hidden="1" x14ac:dyDescent="0.25">
      <c r="A153" s="48">
        <v>152</v>
      </c>
      <c r="B153" s="49" t="s">
        <v>366</v>
      </c>
      <c r="C153" s="49" t="s">
        <v>367</v>
      </c>
      <c r="D153" s="53" t="s">
        <v>47</v>
      </c>
      <c r="E153" s="53" t="s">
        <v>105</v>
      </c>
      <c r="F153" s="45">
        <f t="shared" si="23"/>
        <v>0</v>
      </c>
      <c r="G153" s="58">
        <f t="shared" si="22"/>
        <v>0</v>
      </c>
      <c r="H153" s="5"/>
      <c r="I153" s="5"/>
      <c r="J153" s="5"/>
      <c r="K153" s="5"/>
      <c r="L153" s="5"/>
    </row>
    <row r="154" spans="1:16" ht="15.75" hidden="1" x14ac:dyDescent="0.25">
      <c r="A154" s="48">
        <v>153</v>
      </c>
      <c r="B154" s="49" t="s">
        <v>368</v>
      </c>
      <c r="C154" s="49" t="s">
        <v>369</v>
      </c>
      <c r="D154" s="53" t="s">
        <v>47</v>
      </c>
      <c r="E154" s="53" t="s">
        <v>51</v>
      </c>
      <c r="F154" s="45">
        <f t="shared" si="23"/>
        <v>0</v>
      </c>
      <c r="G154" s="58">
        <f t="shared" si="22"/>
        <v>0</v>
      </c>
      <c r="H154" s="5"/>
      <c r="I154" s="5"/>
      <c r="J154" s="5"/>
      <c r="K154" s="5"/>
      <c r="L154" s="5"/>
    </row>
    <row r="155" spans="1:16" ht="15.75" hidden="1" x14ac:dyDescent="0.25">
      <c r="A155" s="48">
        <v>154</v>
      </c>
      <c r="B155" s="49" t="s">
        <v>370</v>
      </c>
      <c r="C155" s="49" t="s">
        <v>371</v>
      </c>
      <c r="D155" s="53" t="s">
        <v>47</v>
      </c>
      <c r="E155" s="53" t="s">
        <v>105</v>
      </c>
      <c r="F155" s="45">
        <f t="shared" si="23"/>
        <v>150</v>
      </c>
      <c r="G155" s="58">
        <f t="shared" si="22"/>
        <v>2.5</v>
      </c>
      <c r="H155" s="5"/>
      <c r="I155" s="5"/>
      <c r="J155" s="5"/>
      <c r="K155" s="5"/>
      <c r="L155" s="5">
        <v>60</v>
      </c>
      <c r="M155" s="3">
        <v>30</v>
      </c>
      <c r="N155" s="3">
        <v>30</v>
      </c>
      <c r="P155" s="3">
        <v>30</v>
      </c>
    </row>
    <row r="156" spans="1:16" ht="15.75" hidden="1" x14ac:dyDescent="0.25">
      <c r="A156" s="48">
        <v>155</v>
      </c>
      <c r="B156" s="49" t="s">
        <v>372</v>
      </c>
      <c r="C156" s="49" t="s">
        <v>373</v>
      </c>
      <c r="D156" s="53" t="s">
        <v>64</v>
      </c>
      <c r="E156" s="53" t="s">
        <v>65</v>
      </c>
      <c r="F156" s="45">
        <f t="shared" si="19"/>
        <v>0</v>
      </c>
      <c r="G156" s="58">
        <f t="shared" si="22"/>
        <v>0</v>
      </c>
      <c r="H156" s="5"/>
      <c r="I156" s="5"/>
      <c r="J156" s="5"/>
      <c r="K156" s="5"/>
      <c r="L156" s="5"/>
    </row>
    <row r="157" spans="1:16" ht="15.75" hidden="1" x14ac:dyDescent="0.25">
      <c r="A157" s="48">
        <v>156</v>
      </c>
      <c r="B157" s="49" t="s">
        <v>374</v>
      </c>
      <c r="C157" s="49" t="s">
        <v>375</v>
      </c>
      <c r="D157" s="53" t="s">
        <v>47</v>
      </c>
      <c r="E157" s="53" t="s">
        <v>76</v>
      </c>
      <c r="F157" s="45">
        <f t="shared" ref="F157:F179" si="24">SUM($H157:$P157)</f>
        <v>430</v>
      </c>
      <c r="G157" s="58">
        <f t="shared" si="22"/>
        <v>7.166666666666667</v>
      </c>
      <c r="H157" s="5">
        <v>90</v>
      </c>
      <c r="I157" s="5">
        <v>70</v>
      </c>
      <c r="J157" s="5"/>
      <c r="K157" s="5">
        <v>90</v>
      </c>
      <c r="L157" s="5">
        <v>60</v>
      </c>
      <c r="M157" s="3">
        <v>30</v>
      </c>
      <c r="N157" s="3">
        <v>30</v>
      </c>
      <c r="O157" s="3">
        <v>30</v>
      </c>
      <c r="P157" s="3">
        <v>30</v>
      </c>
    </row>
    <row r="158" spans="1:16" ht="15.75" hidden="1" x14ac:dyDescent="0.25">
      <c r="A158" s="48">
        <v>157</v>
      </c>
      <c r="B158" s="49" t="s">
        <v>376</v>
      </c>
      <c r="C158" s="49" t="s">
        <v>377</v>
      </c>
      <c r="D158" s="53" t="s">
        <v>47</v>
      </c>
      <c r="E158" s="53" t="s">
        <v>86</v>
      </c>
      <c r="F158" s="45">
        <f t="shared" si="24"/>
        <v>180</v>
      </c>
      <c r="G158" s="58">
        <f t="shared" si="22"/>
        <v>3</v>
      </c>
      <c r="H158" s="5">
        <v>90</v>
      </c>
      <c r="I158" s="5"/>
      <c r="J158" s="5"/>
      <c r="K158" s="5"/>
      <c r="L158" s="5"/>
      <c r="M158" s="3">
        <v>30</v>
      </c>
      <c r="O158" s="3">
        <v>30</v>
      </c>
      <c r="P158" s="3">
        <v>30</v>
      </c>
    </row>
    <row r="159" spans="1:16" ht="15.75" hidden="1" x14ac:dyDescent="0.25">
      <c r="A159" s="48">
        <v>158</v>
      </c>
      <c r="B159" s="49" t="s">
        <v>378</v>
      </c>
      <c r="C159" s="49" t="s">
        <v>379</v>
      </c>
      <c r="D159" s="53" t="s">
        <v>47</v>
      </c>
      <c r="E159" s="53" t="s">
        <v>51</v>
      </c>
      <c r="F159" s="45">
        <f t="shared" si="24"/>
        <v>240</v>
      </c>
      <c r="G159" s="58">
        <f t="shared" si="22"/>
        <v>4</v>
      </c>
      <c r="H159" s="5">
        <v>90</v>
      </c>
      <c r="I159" s="5"/>
      <c r="J159" s="5">
        <v>60</v>
      </c>
      <c r="K159" s="5"/>
      <c r="L159" s="5"/>
      <c r="N159" s="3">
        <v>30</v>
      </c>
      <c r="O159" s="3">
        <v>30</v>
      </c>
      <c r="P159" s="3">
        <v>30</v>
      </c>
    </row>
    <row r="160" spans="1:16" ht="15.75" hidden="1" x14ac:dyDescent="0.25">
      <c r="A160" s="48">
        <v>159</v>
      </c>
      <c r="B160" s="49" t="s">
        <v>380</v>
      </c>
      <c r="C160" s="49" t="s">
        <v>381</v>
      </c>
      <c r="D160" s="53" t="s">
        <v>47</v>
      </c>
      <c r="E160" s="53" t="s">
        <v>48</v>
      </c>
      <c r="F160" s="45">
        <f t="shared" si="24"/>
        <v>0</v>
      </c>
      <c r="G160" s="58">
        <f t="shared" si="22"/>
        <v>0</v>
      </c>
      <c r="H160" s="5"/>
      <c r="I160" s="5"/>
      <c r="J160" s="5"/>
      <c r="K160" s="5"/>
      <c r="L160" s="5"/>
    </row>
    <row r="161" spans="1:16" ht="15.75" hidden="1" x14ac:dyDescent="0.25">
      <c r="A161" s="48">
        <v>160</v>
      </c>
      <c r="B161" s="49" t="s">
        <v>382</v>
      </c>
      <c r="C161" s="49" t="s">
        <v>383</v>
      </c>
      <c r="D161" s="53" t="s">
        <v>47</v>
      </c>
      <c r="E161" s="53" t="s">
        <v>116</v>
      </c>
      <c r="F161" s="45">
        <f t="shared" si="24"/>
        <v>0</v>
      </c>
      <c r="G161" s="58">
        <f t="shared" si="22"/>
        <v>0</v>
      </c>
      <c r="H161" s="5"/>
      <c r="I161" s="5"/>
      <c r="J161" s="5"/>
      <c r="K161" s="5"/>
      <c r="L161" s="5"/>
    </row>
    <row r="162" spans="1:16" ht="15.75" hidden="1" x14ac:dyDescent="0.25">
      <c r="A162" s="48">
        <v>161</v>
      </c>
      <c r="B162" s="49" t="s">
        <v>384</v>
      </c>
      <c r="C162" s="49" t="s">
        <v>385</v>
      </c>
      <c r="D162" s="53" t="s">
        <v>47</v>
      </c>
      <c r="E162" s="53" t="s">
        <v>48</v>
      </c>
      <c r="F162" s="45">
        <f t="shared" si="24"/>
        <v>0</v>
      </c>
      <c r="G162" s="58">
        <f t="shared" si="22"/>
        <v>0</v>
      </c>
      <c r="H162" s="5"/>
      <c r="I162" s="5"/>
      <c r="J162" s="5"/>
      <c r="K162" s="5"/>
      <c r="L162" s="5"/>
    </row>
    <row r="163" spans="1:16" ht="15.75" hidden="1" x14ac:dyDescent="0.25">
      <c r="A163" s="48">
        <v>162</v>
      </c>
      <c r="B163" s="49" t="s">
        <v>386</v>
      </c>
      <c r="C163" s="49" t="s">
        <v>387</v>
      </c>
      <c r="D163" s="53" t="s">
        <v>47</v>
      </c>
      <c r="E163" s="53" t="s">
        <v>86</v>
      </c>
      <c r="F163" s="45">
        <f t="shared" si="24"/>
        <v>172</v>
      </c>
      <c r="G163" s="58">
        <f t="shared" si="22"/>
        <v>2.8666666666666667</v>
      </c>
      <c r="H163" s="5"/>
      <c r="I163" s="5">
        <v>82</v>
      </c>
      <c r="J163" s="5"/>
      <c r="K163" s="5"/>
      <c r="L163" s="5"/>
      <c r="N163" s="3">
        <v>30</v>
      </c>
      <c r="O163" s="3">
        <v>30</v>
      </c>
      <c r="P163" s="3">
        <v>30</v>
      </c>
    </row>
    <row r="164" spans="1:16" ht="15.75" hidden="1" x14ac:dyDescent="0.25">
      <c r="A164" s="48">
        <v>163</v>
      </c>
      <c r="B164" s="49" t="s">
        <v>388</v>
      </c>
      <c r="C164" s="49" t="s">
        <v>389</v>
      </c>
      <c r="D164" s="53" t="s">
        <v>47</v>
      </c>
      <c r="E164" s="53" t="s">
        <v>48</v>
      </c>
      <c r="F164" s="45">
        <f t="shared" si="24"/>
        <v>180</v>
      </c>
      <c r="G164" s="58">
        <f t="shared" si="22"/>
        <v>3</v>
      </c>
      <c r="H164" s="5">
        <v>90</v>
      </c>
      <c r="I164" s="5"/>
      <c r="J164" s="5"/>
      <c r="K164" s="5"/>
      <c r="L164" s="5"/>
      <c r="M164" s="3">
        <v>30</v>
      </c>
      <c r="N164" s="3">
        <v>30</v>
      </c>
      <c r="P164" s="3">
        <v>30</v>
      </c>
    </row>
    <row r="165" spans="1:16" ht="15.75" hidden="1" x14ac:dyDescent="0.25">
      <c r="A165" s="48">
        <v>164</v>
      </c>
      <c r="B165" s="49" t="s">
        <v>390</v>
      </c>
      <c r="C165" s="49" t="s">
        <v>391</v>
      </c>
      <c r="D165" s="53" t="s">
        <v>47</v>
      </c>
      <c r="E165" s="53" t="s">
        <v>48</v>
      </c>
      <c r="F165" s="45">
        <f t="shared" si="24"/>
        <v>299</v>
      </c>
      <c r="G165" s="58">
        <f t="shared" si="22"/>
        <v>4.9833333333333334</v>
      </c>
      <c r="H165" s="5">
        <v>90</v>
      </c>
      <c r="I165" s="5">
        <v>59</v>
      </c>
      <c r="J165" s="5"/>
      <c r="K165" s="5">
        <v>90</v>
      </c>
      <c r="L165" s="5"/>
      <c r="N165" s="3">
        <v>30</v>
      </c>
      <c r="O165" s="3">
        <v>30</v>
      </c>
    </row>
    <row r="166" spans="1:16" ht="15.75" hidden="1" x14ac:dyDescent="0.25">
      <c r="A166" s="48">
        <v>165</v>
      </c>
      <c r="B166" s="49" t="s">
        <v>392</v>
      </c>
      <c r="C166" s="49" t="s">
        <v>393</v>
      </c>
      <c r="D166" s="53" t="s">
        <v>47</v>
      </c>
      <c r="E166" s="53" t="s">
        <v>76</v>
      </c>
      <c r="F166" s="45">
        <f t="shared" si="24"/>
        <v>120</v>
      </c>
      <c r="G166" s="58">
        <f t="shared" si="22"/>
        <v>2</v>
      </c>
      <c r="H166" s="5">
        <v>90</v>
      </c>
      <c r="I166" s="5"/>
      <c r="J166" s="5"/>
      <c r="K166" s="5"/>
      <c r="L166" s="5"/>
      <c r="M166" s="3">
        <v>30</v>
      </c>
    </row>
    <row r="167" spans="1:16" ht="15.75" hidden="1" x14ac:dyDescent="0.25">
      <c r="A167" s="48">
        <v>166</v>
      </c>
      <c r="B167" s="49" t="s">
        <v>394</v>
      </c>
      <c r="C167" s="49" t="s">
        <v>395</v>
      </c>
      <c r="D167" s="53" t="s">
        <v>47</v>
      </c>
      <c r="E167" s="53" t="s">
        <v>116</v>
      </c>
      <c r="F167" s="45">
        <f t="shared" si="24"/>
        <v>30</v>
      </c>
      <c r="G167" s="58">
        <f t="shared" si="22"/>
        <v>0.5</v>
      </c>
      <c r="H167" s="5"/>
      <c r="I167" s="5"/>
      <c r="J167" s="5"/>
      <c r="K167" s="5"/>
      <c r="L167" s="5"/>
      <c r="P167" s="3">
        <v>30</v>
      </c>
    </row>
    <row r="168" spans="1:16" ht="15.75" hidden="1" x14ac:dyDescent="0.25">
      <c r="A168" s="48">
        <v>167</v>
      </c>
      <c r="B168" s="49" t="s">
        <v>396</v>
      </c>
      <c r="C168" s="49" t="s">
        <v>397</v>
      </c>
      <c r="D168" s="53" t="s">
        <v>47</v>
      </c>
      <c r="E168" s="53" t="s">
        <v>56</v>
      </c>
      <c r="F168" s="45">
        <f t="shared" si="24"/>
        <v>60</v>
      </c>
      <c r="G168" s="58">
        <f t="shared" si="22"/>
        <v>1</v>
      </c>
      <c r="H168" s="5"/>
      <c r="I168" s="5"/>
      <c r="J168" s="5"/>
      <c r="K168" s="5"/>
      <c r="L168" s="5"/>
      <c r="O168" s="3">
        <v>30</v>
      </c>
      <c r="P168" s="3">
        <v>30</v>
      </c>
    </row>
    <row r="169" spans="1:16" ht="15.75" hidden="1" x14ac:dyDescent="0.25">
      <c r="A169" s="48">
        <v>168</v>
      </c>
      <c r="B169" s="49" t="s">
        <v>398</v>
      </c>
      <c r="C169" s="49" t="s">
        <v>399</v>
      </c>
      <c r="D169" s="53" t="s">
        <v>47</v>
      </c>
      <c r="E169" s="53" t="s">
        <v>48</v>
      </c>
      <c r="F169" s="45">
        <f t="shared" si="24"/>
        <v>90</v>
      </c>
      <c r="G169" s="58">
        <f t="shared" si="22"/>
        <v>1.5</v>
      </c>
      <c r="H169" s="5"/>
      <c r="I169" s="5"/>
      <c r="J169" s="5"/>
      <c r="K169" s="5">
        <v>90</v>
      </c>
      <c r="L169" s="5"/>
    </row>
    <row r="170" spans="1:16" ht="15.75" hidden="1" x14ac:dyDescent="0.25">
      <c r="A170" s="48">
        <v>169</v>
      </c>
      <c r="B170" s="49" t="s">
        <v>400</v>
      </c>
      <c r="C170" s="49" t="s">
        <v>401</v>
      </c>
      <c r="D170" s="53" t="s">
        <v>47</v>
      </c>
      <c r="E170" s="53" t="s">
        <v>48</v>
      </c>
      <c r="F170" s="45">
        <f t="shared" si="24"/>
        <v>150</v>
      </c>
      <c r="G170" s="58">
        <f t="shared" si="22"/>
        <v>2.5</v>
      </c>
      <c r="H170" s="5"/>
      <c r="I170" s="5"/>
      <c r="J170" s="5">
        <v>60</v>
      </c>
      <c r="K170" s="5"/>
      <c r="L170" s="5"/>
      <c r="M170" s="3">
        <v>30</v>
      </c>
      <c r="N170" s="3">
        <v>30</v>
      </c>
      <c r="P170" s="3">
        <v>30</v>
      </c>
    </row>
    <row r="171" spans="1:16" ht="15.75" hidden="1" x14ac:dyDescent="0.25">
      <c r="A171" s="48">
        <v>170</v>
      </c>
      <c r="B171" s="49" t="s">
        <v>402</v>
      </c>
      <c r="C171" s="49" t="s">
        <v>403</v>
      </c>
      <c r="D171" s="53" t="s">
        <v>47</v>
      </c>
      <c r="E171" s="53" t="s">
        <v>48</v>
      </c>
      <c r="F171" s="45">
        <f t="shared" si="24"/>
        <v>240</v>
      </c>
      <c r="G171" s="58">
        <f t="shared" si="22"/>
        <v>4</v>
      </c>
      <c r="H171" s="5">
        <v>90</v>
      </c>
      <c r="I171" s="5"/>
      <c r="J171" s="5"/>
      <c r="K171" s="5"/>
      <c r="L171" s="5">
        <v>60</v>
      </c>
      <c r="N171" s="3">
        <v>30</v>
      </c>
      <c r="O171" s="3">
        <v>30</v>
      </c>
      <c r="P171" s="3">
        <v>30</v>
      </c>
    </row>
    <row r="172" spans="1:16" ht="15.75" hidden="1" x14ac:dyDescent="0.25">
      <c r="A172" s="48">
        <v>171</v>
      </c>
      <c r="B172" s="49" t="s">
        <v>404</v>
      </c>
      <c r="C172" s="49" t="s">
        <v>405</v>
      </c>
      <c r="D172" s="53" t="s">
        <v>47</v>
      </c>
      <c r="E172" s="53" t="s">
        <v>205</v>
      </c>
      <c r="F172" s="45">
        <f t="shared" si="24"/>
        <v>0</v>
      </c>
      <c r="G172" s="58">
        <f t="shared" si="22"/>
        <v>0</v>
      </c>
      <c r="H172" s="5"/>
      <c r="I172" s="5"/>
      <c r="J172" s="5"/>
      <c r="K172" s="5"/>
      <c r="L172" s="5"/>
    </row>
    <row r="173" spans="1:16" ht="15.75" hidden="1" x14ac:dyDescent="0.25">
      <c r="A173" s="48">
        <v>172</v>
      </c>
      <c r="B173" s="49" t="s">
        <v>406</v>
      </c>
      <c r="C173" s="49" t="s">
        <v>407</v>
      </c>
      <c r="D173" s="53" t="s">
        <v>47</v>
      </c>
      <c r="E173" s="53" t="s">
        <v>56</v>
      </c>
      <c r="F173" s="45">
        <f t="shared" si="24"/>
        <v>0</v>
      </c>
      <c r="G173" s="58">
        <f t="shared" si="22"/>
        <v>0</v>
      </c>
      <c r="H173" s="5"/>
      <c r="I173" s="5"/>
      <c r="J173" s="5"/>
      <c r="K173" s="5"/>
      <c r="L173" s="5"/>
    </row>
    <row r="174" spans="1:16" ht="15.75" hidden="1" x14ac:dyDescent="0.25">
      <c r="A174" s="48">
        <v>173</v>
      </c>
      <c r="B174" s="49" t="s">
        <v>408</v>
      </c>
      <c r="C174" s="49" t="s">
        <v>409</v>
      </c>
      <c r="D174" s="53" t="s">
        <v>47</v>
      </c>
      <c r="E174" s="53" t="s">
        <v>48</v>
      </c>
      <c r="F174" s="45">
        <f t="shared" si="24"/>
        <v>218</v>
      </c>
      <c r="G174" s="58">
        <f t="shared" si="22"/>
        <v>3.6333333333333333</v>
      </c>
      <c r="H174" s="5">
        <v>90</v>
      </c>
      <c r="I174" s="5">
        <v>8</v>
      </c>
      <c r="J174" s="5"/>
      <c r="K174" s="5">
        <v>90</v>
      </c>
      <c r="L174" s="5"/>
      <c r="P174" s="3">
        <v>30</v>
      </c>
    </row>
    <row r="175" spans="1:16" ht="15.75" hidden="1" x14ac:dyDescent="0.25">
      <c r="A175" s="48">
        <v>174</v>
      </c>
      <c r="B175" s="49" t="s">
        <v>410</v>
      </c>
      <c r="C175" s="49" t="s">
        <v>411</v>
      </c>
      <c r="D175" s="53" t="s">
        <v>47</v>
      </c>
      <c r="E175" s="53" t="s">
        <v>51</v>
      </c>
      <c r="F175" s="45">
        <f t="shared" si="24"/>
        <v>30</v>
      </c>
      <c r="G175" s="58">
        <f t="shared" si="22"/>
        <v>0.5</v>
      </c>
      <c r="H175" s="5"/>
      <c r="I175" s="5"/>
      <c r="J175" s="5"/>
      <c r="K175" s="5"/>
      <c r="L175" s="5"/>
      <c r="O175" s="3">
        <v>30</v>
      </c>
    </row>
    <row r="176" spans="1:16" ht="15.75" hidden="1" x14ac:dyDescent="0.25">
      <c r="A176" s="48">
        <v>175</v>
      </c>
      <c r="B176" s="49" t="s">
        <v>412</v>
      </c>
      <c r="C176" s="49" t="s">
        <v>413</v>
      </c>
      <c r="D176" s="53" t="s">
        <v>47</v>
      </c>
      <c r="E176" s="53" t="s">
        <v>116</v>
      </c>
      <c r="F176" s="45">
        <f t="shared" si="24"/>
        <v>0</v>
      </c>
      <c r="G176" s="58">
        <f t="shared" si="22"/>
        <v>0</v>
      </c>
      <c r="H176" s="5"/>
      <c r="I176" s="5"/>
      <c r="J176" s="5"/>
      <c r="K176" s="5"/>
      <c r="L176" s="5"/>
    </row>
    <row r="177" spans="1:16" ht="15.75" hidden="1" x14ac:dyDescent="0.25">
      <c r="A177" s="48">
        <v>176</v>
      </c>
      <c r="B177" s="49" t="s">
        <v>414</v>
      </c>
      <c r="C177" s="49" t="s">
        <v>415</v>
      </c>
      <c r="D177" s="53" t="s">
        <v>47</v>
      </c>
      <c r="E177" s="53" t="s">
        <v>51</v>
      </c>
      <c r="F177" s="45">
        <f t="shared" si="24"/>
        <v>135</v>
      </c>
      <c r="G177" s="58">
        <f t="shared" si="22"/>
        <v>2.25</v>
      </c>
      <c r="H177" s="5">
        <v>90</v>
      </c>
      <c r="I177" s="5">
        <v>15</v>
      </c>
      <c r="J177" s="5"/>
      <c r="K177" s="5"/>
      <c r="L177" s="5"/>
      <c r="M177" s="3">
        <v>30</v>
      </c>
    </row>
    <row r="178" spans="1:16" ht="15.75" hidden="1" x14ac:dyDescent="0.25">
      <c r="A178" s="48">
        <v>177</v>
      </c>
      <c r="B178" s="49" t="s">
        <v>416</v>
      </c>
      <c r="C178" s="49" t="s">
        <v>417</v>
      </c>
      <c r="D178" s="53" t="s">
        <v>47</v>
      </c>
      <c r="E178" s="53" t="s">
        <v>105</v>
      </c>
      <c r="F178" s="45">
        <f t="shared" si="24"/>
        <v>0</v>
      </c>
      <c r="G178" s="58">
        <f t="shared" si="22"/>
        <v>0</v>
      </c>
      <c r="H178" s="5"/>
      <c r="I178" s="5"/>
      <c r="J178" s="5"/>
      <c r="K178" s="5"/>
      <c r="L178" s="5"/>
    </row>
    <row r="179" spans="1:16" ht="15.75" hidden="1" x14ac:dyDescent="0.25">
      <c r="A179" s="48">
        <v>178</v>
      </c>
      <c r="B179" s="49" t="s">
        <v>418</v>
      </c>
      <c r="C179" s="49" t="s">
        <v>419</v>
      </c>
      <c r="D179" s="53" t="s">
        <v>47</v>
      </c>
      <c r="E179" s="53" t="s">
        <v>76</v>
      </c>
      <c r="F179" s="45">
        <f t="shared" si="24"/>
        <v>180</v>
      </c>
      <c r="G179" s="58">
        <f t="shared" si="22"/>
        <v>3</v>
      </c>
      <c r="H179" s="5"/>
      <c r="I179" s="5"/>
      <c r="J179" s="5"/>
      <c r="K179" s="5">
        <v>90</v>
      </c>
      <c r="L179" s="5"/>
      <c r="N179" s="3">
        <v>30</v>
      </c>
      <c r="O179" s="3">
        <v>30</v>
      </c>
      <c r="P179" s="3">
        <v>30</v>
      </c>
    </row>
    <row r="180" spans="1:16" ht="15.75" hidden="1" x14ac:dyDescent="0.25">
      <c r="A180" s="48">
        <v>179</v>
      </c>
      <c r="B180" s="49" t="s">
        <v>420</v>
      </c>
      <c r="C180" s="49" t="s">
        <v>421</v>
      </c>
      <c r="D180" s="53" t="s">
        <v>82</v>
      </c>
      <c r="E180" s="53" t="s">
        <v>140</v>
      </c>
      <c r="F180" s="45">
        <f t="shared" si="19"/>
        <v>0</v>
      </c>
      <c r="G180" s="58">
        <f t="shared" si="22"/>
        <v>0</v>
      </c>
      <c r="H180" s="5"/>
      <c r="I180" s="5"/>
      <c r="J180" s="5"/>
      <c r="K180" s="5"/>
      <c r="L180" s="5"/>
    </row>
    <row r="181" spans="1:16" ht="15.75" hidden="1" x14ac:dyDescent="0.25">
      <c r="A181" s="48">
        <v>180</v>
      </c>
      <c r="B181" s="49" t="s">
        <v>422</v>
      </c>
      <c r="C181" s="49" t="s">
        <v>423</v>
      </c>
      <c r="D181" s="53" t="s">
        <v>47</v>
      </c>
      <c r="E181" s="53" t="s">
        <v>116</v>
      </c>
      <c r="F181" s="45">
        <f t="shared" ref="F181:F211" si="25">SUM($H181:$P181)</f>
        <v>74</v>
      </c>
      <c r="G181" s="58">
        <f t="shared" si="22"/>
        <v>1.2333333333333334</v>
      </c>
      <c r="H181" s="5"/>
      <c r="I181" s="5">
        <v>74</v>
      </c>
      <c r="J181" s="5"/>
      <c r="K181" s="5"/>
      <c r="L181" s="5"/>
    </row>
    <row r="182" spans="1:16" ht="15.75" hidden="1" x14ac:dyDescent="0.25">
      <c r="A182" s="48">
        <v>181</v>
      </c>
      <c r="B182" s="49" t="s">
        <v>424</v>
      </c>
      <c r="C182" s="49" t="s">
        <v>425</v>
      </c>
      <c r="D182" s="53" t="s">
        <v>47</v>
      </c>
      <c r="E182" s="53" t="s">
        <v>86</v>
      </c>
      <c r="F182" s="45">
        <f t="shared" si="25"/>
        <v>150</v>
      </c>
      <c r="G182" s="58">
        <f t="shared" si="22"/>
        <v>2.5</v>
      </c>
      <c r="H182" s="5"/>
      <c r="I182" s="5"/>
      <c r="J182" s="5"/>
      <c r="K182" s="5">
        <v>90</v>
      </c>
      <c r="L182" s="5"/>
      <c r="M182" s="3">
        <v>30</v>
      </c>
      <c r="O182" s="3">
        <v>30</v>
      </c>
    </row>
    <row r="183" spans="1:16" ht="15.75" hidden="1" x14ac:dyDescent="0.25">
      <c r="A183" s="48">
        <v>182</v>
      </c>
      <c r="B183" s="49" t="s">
        <v>426</v>
      </c>
      <c r="C183" s="49" t="s">
        <v>427</v>
      </c>
      <c r="D183" s="53" t="s">
        <v>47</v>
      </c>
      <c r="E183" s="53" t="s">
        <v>48</v>
      </c>
      <c r="F183" s="45">
        <f t="shared" si="25"/>
        <v>60</v>
      </c>
      <c r="G183" s="58">
        <f t="shared" si="22"/>
        <v>1</v>
      </c>
      <c r="H183" s="5"/>
      <c r="I183" s="5"/>
      <c r="J183" s="5"/>
      <c r="K183" s="5"/>
      <c r="L183" s="5"/>
      <c r="M183" s="3">
        <v>30</v>
      </c>
      <c r="P183" s="3">
        <v>30</v>
      </c>
    </row>
    <row r="184" spans="1:16" ht="15.75" hidden="1" x14ac:dyDescent="0.25">
      <c r="A184" s="48">
        <v>183</v>
      </c>
      <c r="B184" s="49" t="s">
        <v>428</v>
      </c>
      <c r="C184" s="49" t="s">
        <v>429</v>
      </c>
      <c r="D184" s="53" t="s">
        <v>47</v>
      </c>
      <c r="E184" s="53" t="s">
        <v>105</v>
      </c>
      <c r="F184" s="45">
        <f t="shared" si="25"/>
        <v>0</v>
      </c>
      <c r="G184" s="58">
        <f t="shared" si="22"/>
        <v>0</v>
      </c>
      <c r="H184" s="5"/>
      <c r="I184" s="5"/>
      <c r="J184" s="5"/>
      <c r="K184" s="5"/>
      <c r="L184" s="5"/>
    </row>
    <row r="185" spans="1:16" ht="15.75" hidden="1" x14ac:dyDescent="0.25">
      <c r="A185" s="48">
        <v>184</v>
      </c>
      <c r="B185" s="49" t="s">
        <v>430</v>
      </c>
      <c r="C185" s="49" t="s">
        <v>431</v>
      </c>
      <c r="D185" s="53" t="s">
        <v>47</v>
      </c>
      <c r="E185" s="53" t="s">
        <v>56</v>
      </c>
      <c r="F185" s="45">
        <f t="shared" si="25"/>
        <v>0</v>
      </c>
      <c r="G185" s="58">
        <f t="shared" si="22"/>
        <v>0</v>
      </c>
      <c r="H185" s="5"/>
      <c r="I185" s="5"/>
      <c r="J185" s="5"/>
      <c r="K185" s="5"/>
      <c r="L185" s="5"/>
    </row>
    <row r="186" spans="1:16" ht="15.75" hidden="1" x14ac:dyDescent="0.25">
      <c r="A186" s="48">
        <v>185</v>
      </c>
      <c r="B186" s="49" t="s">
        <v>432</v>
      </c>
      <c r="C186" s="49" t="s">
        <v>433</v>
      </c>
      <c r="D186" s="53" t="s">
        <v>47</v>
      </c>
      <c r="E186" s="53" t="s">
        <v>205</v>
      </c>
      <c r="F186" s="45">
        <f t="shared" si="25"/>
        <v>0</v>
      </c>
      <c r="G186" s="58">
        <f t="shared" si="22"/>
        <v>0</v>
      </c>
      <c r="H186" s="5"/>
      <c r="I186" s="5"/>
      <c r="J186" s="5"/>
      <c r="K186" s="5"/>
      <c r="L186" s="5"/>
    </row>
    <row r="187" spans="1:16" ht="15.75" hidden="1" x14ac:dyDescent="0.25">
      <c r="A187" s="48">
        <v>186</v>
      </c>
      <c r="B187" s="49" t="s">
        <v>434</v>
      </c>
      <c r="C187" s="49" t="s">
        <v>435</v>
      </c>
      <c r="D187" s="53" t="s">
        <v>47</v>
      </c>
      <c r="E187" s="53" t="s">
        <v>48</v>
      </c>
      <c r="F187" s="45">
        <f t="shared" si="25"/>
        <v>60</v>
      </c>
      <c r="G187" s="58">
        <f t="shared" si="22"/>
        <v>1</v>
      </c>
      <c r="H187" s="5"/>
      <c r="I187" s="5"/>
      <c r="J187" s="5"/>
      <c r="K187" s="5"/>
      <c r="L187" s="5"/>
      <c r="O187" s="3">
        <v>30</v>
      </c>
      <c r="P187" s="3">
        <v>30</v>
      </c>
    </row>
    <row r="188" spans="1:16" ht="15.75" hidden="1" x14ac:dyDescent="0.25">
      <c r="A188" s="48">
        <v>187</v>
      </c>
      <c r="B188" s="49" t="s">
        <v>436</v>
      </c>
      <c r="C188" s="49" t="s">
        <v>437</v>
      </c>
      <c r="D188" s="53" t="s">
        <v>47</v>
      </c>
      <c r="E188" s="53" t="s">
        <v>51</v>
      </c>
      <c r="F188" s="45">
        <f t="shared" si="25"/>
        <v>180</v>
      </c>
      <c r="G188" s="58">
        <f t="shared" si="22"/>
        <v>3</v>
      </c>
      <c r="H188" s="5">
        <v>90</v>
      </c>
      <c r="I188" s="5"/>
      <c r="J188" s="5"/>
      <c r="K188" s="5"/>
      <c r="L188" s="5"/>
      <c r="N188" s="3">
        <v>30</v>
      </c>
      <c r="O188" s="3">
        <v>30</v>
      </c>
      <c r="P188" s="3">
        <v>30</v>
      </c>
    </row>
    <row r="189" spans="1:16" ht="15.75" hidden="1" x14ac:dyDescent="0.25">
      <c r="A189" s="48">
        <v>188</v>
      </c>
      <c r="B189" s="49" t="s">
        <v>438</v>
      </c>
      <c r="C189" s="49" t="s">
        <v>439</v>
      </c>
      <c r="D189" s="53" t="s">
        <v>47</v>
      </c>
      <c r="E189" s="53" t="s">
        <v>76</v>
      </c>
      <c r="F189" s="45">
        <f t="shared" si="25"/>
        <v>0</v>
      </c>
      <c r="G189" s="58">
        <f t="shared" si="22"/>
        <v>0</v>
      </c>
      <c r="H189" s="5"/>
      <c r="I189" s="5"/>
      <c r="J189" s="5"/>
      <c r="K189" s="5"/>
      <c r="L189" s="5"/>
    </row>
    <row r="190" spans="1:16" ht="15.75" hidden="1" x14ac:dyDescent="0.25">
      <c r="A190" s="48">
        <v>189</v>
      </c>
      <c r="B190" s="49" t="s">
        <v>440</v>
      </c>
      <c r="C190" s="49" t="s">
        <v>441</v>
      </c>
      <c r="D190" s="53" t="s">
        <v>47</v>
      </c>
      <c r="E190" s="53" t="s">
        <v>105</v>
      </c>
      <c r="F190" s="45">
        <f t="shared" si="25"/>
        <v>0</v>
      </c>
      <c r="G190" s="58">
        <f t="shared" si="22"/>
        <v>0</v>
      </c>
      <c r="H190" s="5"/>
      <c r="I190" s="5"/>
      <c r="J190" s="5"/>
      <c r="K190" s="5"/>
      <c r="L190" s="5"/>
    </row>
    <row r="191" spans="1:16" ht="15.75" hidden="1" x14ac:dyDescent="0.25">
      <c r="A191" s="48">
        <v>190</v>
      </c>
      <c r="B191" s="49" t="s">
        <v>442</v>
      </c>
      <c r="C191" s="49" t="s">
        <v>443</v>
      </c>
      <c r="D191" s="53" t="s">
        <v>47</v>
      </c>
      <c r="E191" s="53" t="s">
        <v>51</v>
      </c>
      <c r="F191" s="45">
        <f t="shared" si="25"/>
        <v>180</v>
      </c>
      <c r="G191" s="58">
        <f t="shared" si="22"/>
        <v>3</v>
      </c>
      <c r="H191" s="5"/>
      <c r="I191" s="5"/>
      <c r="J191" s="5"/>
      <c r="K191" s="5">
        <v>90</v>
      </c>
      <c r="L191" s="5"/>
      <c r="M191" s="3">
        <v>30</v>
      </c>
      <c r="O191" s="3">
        <v>30</v>
      </c>
      <c r="P191" s="3">
        <v>30</v>
      </c>
    </row>
    <row r="192" spans="1:16" ht="15.75" hidden="1" x14ac:dyDescent="0.25">
      <c r="A192" s="48">
        <v>191</v>
      </c>
      <c r="B192" s="49" t="s">
        <v>444</v>
      </c>
      <c r="C192" s="49" t="s">
        <v>445</v>
      </c>
      <c r="D192" s="53" t="s">
        <v>47</v>
      </c>
      <c r="E192" s="53" t="s">
        <v>205</v>
      </c>
      <c r="F192" s="45">
        <f t="shared" si="25"/>
        <v>0</v>
      </c>
      <c r="G192" s="58">
        <f t="shared" si="22"/>
        <v>0</v>
      </c>
      <c r="H192" s="5"/>
      <c r="I192" s="5"/>
      <c r="J192" s="5"/>
      <c r="K192" s="5"/>
      <c r="L192" s="5"/>
    </row>
    <row r="193" spans="1:16" ht="15.75" hidden="1" x14ac:dyDescent="0.25">
      <c r="A193" s="48">
        <v>192</v>
      </c>
      <c r="B193" s="49" t="s">
        <v>446</v>
      </c>
      <c r="C193" s="49" t="s">
        <v>447</v>
      </c>
      <c r="D193" s="53" t="s">
        <v>47</v>
      </c>
      <c r="E193" s="53" t="s">
        <v>51</v>
      </c>
      <c r="F193" s="45">
        <f t="shared" si="25"/>
        <v>60</v>
      </c>
      <c r="G193" s="58">
        <f t="shared" si="22"/>
        <v>1</v>
      </c>
      <c r="H193" s="5"/>
      <c r="I193" s="5"/>
      <c r="J193" s="5"/>
      <c r="K193" s="5"/>
      <c r="L193" s="5"/>
      <c r="O193" s="3">
        <v>30</v>
      </c>
      <c r="P193" s="3">
        <v>30</v>
      </c>
    </row>
    <row r="194" spans="1:16" ht="15.75" hidden="1" x14ac:dyDescent="0.25">
      <c r="A194" s="48">
        <v>193</v>
      </c>
      <c r="B194" s="49" t="s">
        <v>448</v>
      </c>
      <c r="C194" s="49" t="s">
        <v>449</v>
      </c>
      <c r="D194" s="53" t="s">
        <v>47</v>
      </c>
      <c r="E194" s="53" t="s">
        <v>116</v>
      </c>
      <c r="F194" s="45">
        <f t="shared" si="25"/>
        <v>60</v>
      </c>
      <c r="G194" s="58">
        <f t="shared" si="22"/>
        <v>1</v>
      </c>
      <c r="H194" s="5"/>
      <c r="I194" s="5"/>
      <c r="J194" s="5"/>
      <c r="K194" s="5"/>
      <c r="L194" s="5"/>
      <c r="M194" s="3">
        <v>30</v>
      </c>
      <c r="P194" s="3">
        <v>30</v>
      </c>
    </row>
    <row r="195" spans="1:16" ht="15.75" hidden="1" x14ac:dyDescent="0.25">
      <c r="A195" s="48">
        <v>194</v>
      </c>
      <c r="B195" s="49" t="s">
        <v>450</v>
      </c>
      <c r="C195" s="49" t="s">
        <v>451</v>
      </c>
      <c r="D195" s="53" t="s">
        <v>47</v>
      </c>
      <c r="E195" s="53" t="s">
        <v>51</v>
      </c>
      <c r="F195" s="45">
        <f t="shared" si="25"/>
        <v>367</v>
      </c>
      <c r="G195" s="58">
        <f t="shared" si="22"/>
        <v>6.1166666666666663</v>
      </c>
      <c r="H195" s="5">
        <v>90</v>
      </c>
      <c r="I195" s="5">
        <v>67</v>
      </c>
      <c r="J195" s="5"/>
      <c r="K195" s="5">
        <v>90</v>
      </c>
      <c r="L195" s="5">
        <v>60</v>
      </c>
      <c r="O195" s="3">
        <v>30</v>
      </c>
      <c r="P195" s="3">
        <v>30</v>
      </c>
    </row>
    <row r="196" spans="1:16" ht="15.75" hidden="1" x14ac:dyDescent="0.25">
      <c r="A196" s="48">
        <v>195</v>
      </c>
      <c r="B196" s="49" t="s">
        <v>452</v>
      </c>
      <c r="C196" s="49" t="s">
        <v>453</v>
      </c>
      <c r="D196" s="53" t="s">
        <v>47</v>
      </c>
      <c r="E196" s="53" t="s">
        <v>48</v>
      </c>
      <c r="F196" s="45">
        <f t="shared" si="25"/>
        <v>240</v>
      </c>
      <c r="G196" s="58">
        <f t="shared" si="22"/>
        <v>4</v>
      </c>
      <c r="H196" s="5">
        <v>90</v>
      </c>
      <c r="I196" s="5"/>
      <c r="J196" s="5"/>
      <c r="K196" s="5">
        <v>90</v>
      </c>
      <c r="L196" s="5"/>
      <c r="O196" s="3">
        <v>30</v>
      </c>
      <c r="P196" s="3">
        <v>30</v>
      </c>
    </row>
    <row r="197" spans="1:16" ht="15.75" hidden="1" x14ac:dyDescent="0.25">
      <c r="A197" s="48">
        <v>196</v>
      </c>
      <c r="B197" s="49" t="s">
        <v>454</v>
      </c>
      <c r="C197" s="49" t="s">
        <v>455</v>
      </c>
      <c r="D197" s="53" t="s">
        <v>47</v>
      </c>
      <c r="E197" s="53" t="s">
        <v>105</v>
      </c>
      <c r="F197" s="45">
        <f t="shared" si="25"/>
        <v>0</v>
      </c>
      <c r="G197" s="58">
        <f t="shared" si="22"/>
        <v>0</v>
      </c>
      <c r="H197" s="5"/>
      <c r="I197" s="5"/>
      <c r="J197" s="5"/>
      <c r="K197" s="5"/>
      <c r="L197" s="5"/>
    </row>
    <row r="198" spans="1:16" ht="15.75" hidden="1" x14ac:dyDescent="0.25">
      <c r="A198" s="48">
        <v>197</v>
      </c>
      <c r="B198" s="49" t="s">
        <v>456</v>
      </c>
      <c r="C198" s="49" t="s">
        <v>457</v>
      </c>
      <c r="D198" s="53" t="s">
        <v>47</v>
      </c>
      <c r="E198" s="53" t="s">
        <v>86</v>
      </c>
      <c r="F198" s="45">
        <f t="shared" si="25"/>
        <v>90</v>
      </c>
      <c r="G198" s="58">
        <f t="shared" si="22"/>
        <v>1.5</v>
      </c>
      <c r="H198" s="5"/>
      <c r="I198" s="5"/>
      <c r="J198" s="5"/>
      <c r="K198" s="5"/>
      <c r="L198" s="5">
        <v>60</v>
      </c>
      <c r="O198" s="3">
        <v>30</v>
      </c>
    </row>
    <row r="199" spans="1:16" ht="15.75" hidden="1" x14ac:dyDescent="0.25">
      <c r="A199" s="48">
        <v>198</v>
      </c>
      <c r="B199" s="49" t="s">
        <v>458</v>
      </c>
      <c r="C199" s="49" t="s">
        <v>459</v>
      </c>
      <c r="D199" s="53" t="s">
        <v>47</v>
      </c>
      <c r="E199" s="53" t="s">
        <v>51</v>
      </c>
      <c r="F199" s="45">
        <f t="shared" si="25"/>
        <v>0</v>
      </c>
      <c r="G199" s="58">
        <f t="shared" si="22"/>
        <v>0</v>
      </c>
      <c r="H199" s="5"/>
      <c r="I199" s="5"/>
      <c r="J199" s="5"/>
      <c r="K199" s="5"/>
      <c r="L199" s="5"/>
    </row>
    <row r="200" spans="1:16" ht="15.75" hidden="1" x14ac:dyDescent="0.25">
      <c r="A200" s="48">
        <v>199</v>
      </c>
      <c r="B200" s="49" t="s">
        <v>460</v>
      </c>
      <c r="C200" s="49" t="s">
        <v>461</v>
      </c>
      <c r="D200" s="53" t="s">
        <v>47</v>
      </c>
      <c r="E200" s="53" t="s">
        <v>48</v>
      </c>
      <c r="F200" s="45">
        <f t="shared" si="25"/>
        <v>60</v>
      </c>
      <c r="G200" s="58">
        <f t="shared" si="22"/>
        <v>1</v>
      </c>
      <c r="H200" s="5"/>
      <c r="I200" s="5"/>
      <c r="J200" s="5"/>
      <c r="K200" s="5"/>
      <c r="L200" s="5">
        <v>60</v>
      </c>
    </row>
    <row r="201" spans="1:16" ht="15.75" hidden="1" x14ac:dyDescent="0.25">
      <c r="A201" s="48">
        <v>200</v>
      </c>
      <c r="B201" s="49" t="s">
        <v>462</v>
      </c>
      <c r="C201" s="49" t="s">
        <v>463</v>
      </c>
      <c r="D201" s="53" t="s">
        <v>47</v>
      </c>
      <c r="E201" s="53" t="s">
        <v>56</v>
      </c>
      <c r="F201" s="45">
        <f t="shared" si="25"/>
        <v>60</v>
      </c>
      <c r="G201" s="58">
        <f t="shared" si="22"/>
        <v>1</v>
      </c>
      <c r="H201" s="5"/>
      <c r="I201" s="5"/>
      <c r="J201" s="5"/>
      <c r="K201" s="5"/>
      <c r="L201" s="5"/>
      <c r="O201" s="3">
        <v>30</v>
      </c>
      <c r="P201" s="3">
        <v>30</v>
      </c>
    </row>
    <row r="202" spans="1:16" ht="15.75" hidden="1" x14ac:dyDescent="0.25">
      <c r="A202" s="48">
        <v>201</v>
      </c>
      <c r="B202" s="49" t="s">
        <v>464</v>
      </c>
      <c r="C202" s="49" t="s">
        <v>465</v>
      </c>
      <c r="D202" s="53" t="s">
        <v>47</v>
      </c>
      <c r="E202" s="53" t="s">
        <v>48</v>
      </c>
      <c r="F202" s="45">
        <f t="shared" si="25"/>
        <v>330</v>
      </c>
      <c r="G202" s="58">
        <f t="shared" si="22"/>
        <v>5.5</v>
      </c>
      <c r="H202" s="5">
        <v>90</v>
      </c>
      <c r="I202" s="5"/>
      <c r="J202" s="5"/>
      <c r="K202" s="5">
        <v>90</v>
      </c>
      <c r="L202" s="5">
        <v>60</v>
      </c>
      <c r="N202" s="3">
        <v>30</v>
      </c>
      <c r="O202" s="3">
        <v>30</v>
      </c>
      <c r="P202" s="3">
        <v>30</v>
      </c>
    </row>
    <row r="203" spans="1:16" ht="15.75" hidden="1" x14ac:dyDescent="0.25">
      <c r="A203" s="48">
        <v>202</v>
      </c>
      <c r="B203" s="49" t="s">
        <v>466</v>
      </c>
      <c r="C203" s="49" t="s">
        <v>467</v>
      </c>
      <c r="D203" s="53" t="s">
        <v>47</v>
      </c>
      <c r="E203" s="53" t="s">
        <v>48</v>
      </c>
      <c r="F203" s="45">
        <f t="shared" si="25"/>
        <v>0</v>
      </c>
      <c r="G203" s="58">
        <f t="shared" si="22"/>
        <v>0</v>
      </c>
      <c r="H203" s="5"/>
      <c r="I203" s="5"/>
      <c r="J203" s="5"/>
      <c r="K203" s="5"/>
      <c r="L203" s="5"/>
    </row>
    <row r="204" spans="1:16" ht="15.75" hidden="1" x14ac:dyDescent="0.25">
      <c r="A204" s="48">
        <v>203</v>
      </c>
      <c r="B204" s="49" t="s">
        <v>468</v>
      </c>
      <c r="C204" s="49" t="s">
        <v>469</v>
      </c>
      <c r="D204" s="53" t="s">
        <v>47</v>
      </c>
      <c r="E204" s="53" t="s">
        <v>48</v>
      </c>
      <c r="F204" s="45">
        <f t="shared" si="25"/>
        <v>210</v>
      </c>
      <c r="G204" s="58">
        <f t="shared" si="22"/>
        <v>3.5</v>
      </c>
      <c r="H204" s="5">
        <v>90</v>
      </c>
      <c r="I204" s="5"/>
      <c r="J204" s="5"/>
      <c r="K204" s="5"/>
      <c r="L204" s="5"/>
      <c r="M204" s="3">
        <v>30</v>
      </c>
      <c r="N204" s="3">
        <v>30</v>
      </c>
      <c r="O204" s="3">
        <v>30</v>
      </c>
      <c r="P204" s="3">
        <v>30</v>
      </c>
    </row>
    <row r="205" spans="1:16" ht="15.75" hidden="1" x14ac:dyDescent="0.25">
      <c r="A205" s="48">
        <v>204</v>
      </c>
      <c r="B205" s="49" t="s">
        <v>470</v>
      </c>
      <c r="C205" s="49" t="s">
        <v>471</v>
      </c>
      <c r="D205" s="53" t="s">
        <v>47</v>
      </c>
      <c r="E205" s="53" t="s">
        <v>76</v>
      </c>
      <c r="F205" s="45">
        <f t="shared" si="25"/>
        <v>90</v>
      </c>
      <c r="G205" s="58">
        <f t="shared" si="22"/>
        <v>1.5</v>
      </c>
      <c r="H205" s="5"/>
      <c r="I205" s="5"/>
      <c r="J205" s="5"/>
      <c r="K205" s="5"/>
      <c r="L205" s="5"/>
      <c r="M205" s="3">
        <v>30</v>
      </c>
      <c r="O205" s="3">
        <v>30</v>
      </c>
      <c r="P205" s="3">
        <v>30</v>
      </c>
    </row>
    <row r="206" spans="1:16" ht="15.75" hidden="1" x14ac:dyDescent="0.25">
      <c r="A206" s="48">
        <v>205</v>
      </c>
      <c r="B206" s="49" t="s">
        <v>472</v>
      </c>
      <c r="C206" s="49" t="s">
        <v>473</v>
      </c>
      <c r="D206" s="53" t="s">
        <v>47</v>
      </c>
      <c r="E206" s="53" t="s">
        <v>51</v>
      </c>
      <c r="F206" s="45">
        <f t="shared" si="25"/>
        <v>61</v>
      </c>
      <c r="G206" s="58">
        <f t="shared" si="22"/>
        <v>1.0166666666666666</v>
      </c>
      <c r="H206" s="5"/>
      <c r="I206" s="5">
        <v>61</v>
      </c>
      <c r="J206" s="5"/>
      <c r="K206" s="5"/>
      <c r="L206" s="5"/>
    </row>
    <row r="207" spans="1:16" ht="15.75" hidden="1" x14ac:dyDescent="0.25">
      <c r="A207" s="48">
        <v>206</v>
      </c>
      <c r="B207" s="49" t="s">
        <v>474</v>
      </c>
      <c r="C207" s="49" t="s">
        <v>475</v>
      </c>
      <c r="D207" s="53" t="s">
        <v>47</v>
      </c>
      <c r="E207" s="53" t="s">
        <v>51</v>
      </c>
      <c r="F207" s="45">
        <f t="shared" si="25"/>
        <v>0</v>
      </c>
      <c r="G207" s="58">
        <f t="shared" si="22"/>
        <v>0</v>
      </c>
      <c r="H207" s="5"/>
      <c r="I207" s="5"/>
      <c r="J207" s="5"/>
      <c r="K207" s="5"/>
      <c r="L207" s="5"/>
    </row>
    <row r="208" spans="1:16" ht="15.75" hidden="1" x14ac:dyDescent="0.25">
      <c r="A208" s="48">
        <v>207</v>
      </c>
      <c r="B208" s="49" t="s">
        <v>476</v>
      </c>
      <c r="C208" s="49" t="s">
        <v>477</v>
      </c>
      <c r="D208" s="53" t="s">
        <v>47</v>
      </c>
      <c r="E208" s="53" t="s">
        <v>116</v>
      </c>
      <c r="F208" s="45">
        <f t="shared" si="25"/>
        <v>0</v>
      </c>
      <c r="G208" s="58">
        <f t="shared" si="22"/>
        <v>0</v>
      </c>
      <c r="H208" s="5"/>
      <c r="I208" s="5"/>
      <c r="J208" s="5"/>
      <c r="K208" s="5"/>
      <c r="L208" s="5"/>
    </row>
    <row r="209" spans="1:16" ht="15.75" hidden="1" x14ac:dyDescent="0.25">
      <c r="A209" s="48">
        <v>208</v>
      </c>
      <c r="B209" s="49" t="s">
        <v>478</v>
      </c>
      <c r="C209" s="49" t="s">
        <v>479</v>
      </c>
      <c r="D209" s="53" t="s">
        <v>47</v>
      </c>
      <c r="E209" s="53" t="s">
        <v>48</v>
      </c>
      <c r="F209" s="45">
        <f t="shared" si="25"/>
        <v>0</v>
      </c>
      <c r="G209" s="58">
        <f t="shared" ref="G209:G272" si="26">F209/60</f>
        <v>0</v>
      </c>
      <c r="H209" s="5"/>
      <c r="I209" s="5"/>
      <c r="J209" s="5"/>
      <c r="K209" s="5"/>
      <c r="L209" s="5"/>
    </row>
    <row r="210" spans="1:16" ht="15.75" hidden="1" x14ac:dyDescent="0.25">
      <c r="A210" s="48">
        <v>209</v>
      </c>
      <c r="B210" s="49" t="s">
        <v>480</v>
      </c>
      <c r="C210" s="49" t="s">
        <v>481</v>
      </c>
      <c r="D210" s="53" t="s">
        <v>47</v>
      </c>
      <c r="E210" s="53" t="s">
        <v>76</v>
      </c>
      <c r="F210" s="45">
        <f t="shared" si="25"/>
        <v>0</v>
      </c>
      <c r="G210" s="58">
        <f t="shared" si="26"/>
        <v>0</v>
      </c>
      <c r="H210" s="5"/>
      <c r="I210" s="5"/>
      <c r="J210" s="5"/>
      <c r="K210" s="5"/>
      <c r="L210" s="5"/>
    </row>
    <row r="211" spans="1:16" ht="15.75" hidden="1" x14ac:dyDescent="0.25">
      <c r="A211" s="48">
        <v>210</v>
      </c>
      <c r="B211" s="49" t="s">
        <v>482</v>
      </c>
      <c r="C211" s="49" t="s">
        <v>483</v>
      </c>
      <c r="D211" s="53" t="s">
        <v>47</v>
      </c>
      <c r="E211" s="53" t="s">
        <v>48</v>
      </c>
      <c r="F211" s="45">
        <f t="shared" si="25"/>
        <v>0</v>
      </c>
      <c r="G211" s="58">
        <f t="shared" si="26"/>
        <v>0</v>
      </c>
      <c r="H211" s="5"/>
      <c r="I211" s="5"/>
      <c r="J211" s="5"/>
      <c r="K211" s="5"/>
      <c r="L211" s="5"/>
    </row>
    <row r="212" spans="1:16" ht="15.75" hidden="1" x14ac:dyDescent="0.25">
      <c r="A212" s="48">
        <v>211</v>
      </c>
      <c r="B212" s="49" t="s">
        <v>484</v>
      </c>
      <c r="C212" s="49" t="s">
        <v>485</v>
      </c>
      <c r="D212" s="53" t="s">
        <v>64</v>
      </c>
      <c r="E212" s="53" t="s">
        <v>65</v>
      </c>
      <c r="F212" s="45">
        <f t="shared" ref="F212:F254" si="27">SUM($H212:$K212)</f>
        <v>0</v>
      </c>
      <c r="G212" s="58">
        <f t="shared" si="26"/>
        <v>0</v>
      </c>
      <c r="H212" s="5"/>
      <c r="I212" s="5"/>
      <c r="J212" s="5"/>
      <c r="K212" s="5"/>
      <c r="L212" s="5"/>
    </row>
    <row r="213" spans="1:16" ht="15.75" hidden="1" x14ac:dyDescent="0.25">
      <c r="A213" s="48">
        <v>212</v>
      </c>
      <c r="B213" s="49" t="s">
        <v>486</v>
      </c>
      <c r="C213" s="49" t="s">
        <v>487</v>
      </c>
      <c r="D213" s="53" t="s">
        <v>47</v>
      </c>
      <c r="E213" s="53" t="s">
        <v>48</v>
      </c>
      <c r="F213" s="45">
        <f t="shared" ref="F213:F216" si="28">SUM($H213:$P213)</f>
        <v>0</v>
      </c>
      <c r="G213" s="58">
        <f t="shared" si="26"/>
        <v>0</v>
      </c>
      <c r="H213" s="5"/>
      <c r="I213" s="5"/>
      <c r="J213" s="5"/>
      <c r="K213" s="5"/>
      <c r="L213" s="5"/>
    </row>
    <row r="214" spans="1:16" ht="15.75" hidden="1" x14ac:dyDescent="0.25">
      <c r="A214" s="48">
        <v>213</v>
      </c>
      <c r="B214" s="49" t="s">
        <v>488</v>
      </c>
      <c r="C214" s="49" t="s">
        <v>489</v>
      </c>
      <c r="D214" s="53" t="s">
        <v>47</v>
      </c>
      <c r="E214" s="53" t="s">
        <v>116</v>
      </c>
      <c r="F214" s="45">
        <f t="shared" si="28"/>
        <v>79</v>
      </c>
      <c r="G214" s="58">
        <f t="shared" si="26"/>
        <v>1.3166666666666667</v>
      </c>
      <c r="H214" s="5"/>
      <c r="I214" s="5">
        <v>79</v>
      </c>
      <c r="J214" s="5"/>
      <c r="K214" s="5"/>
      <c r="L214" s="5"/>
    </row>
    <row r="215" spans="1:16" ht="15.75" hidden="1" x14ac:dyDescent="0.25">
      <c r="A215" s="48">
        <v>214</v>
      </c>
      <c r="B215" s="49" t="s">
        <v>490</v>
      </c>
      <c r="C215" s="49" t="s">
        <v>491</v>
      </c>
      <c r="D215" s="53" t="s">
        <v>47</v>
      </c>
      <c r="E215" s="53" t="s">
        <v>76</v>
      </c>
      <c r="F215" s="45">
        <f t="shared" si="28"/>
        <v>60</v>
      </c>
      <c r="G215" s="58">
        <f t="shared" si="26"/>
        <v>1</v>
      </c>
      <c r="H215" s="5"/>
      <c r="I215" s="5"/>
      <c r="J215" s="5"/>
      <c r="K215" s="5"/>
      <c r="L215" s="5">
        <v>60</v>
      </c>
    </row>
    <row r="216" spans="1:16" ht="15.75" hidden="1" x14ac:dyDescent="0.25">
      <c r="A216" s="48">
        <v>215</v>
      </c>
      <c r="B216" s="49" t="s">
        <v>492</v>
      </c>
      <c r="C216" s="49" t="s">
        <v>493</v>
      </c>
      <c r="D216" s="53" t="s">
        <v>47</v>
      </c>
      <c r="E216" s="53" t="s">
        <v>51</v>
      </c>
      <c r="F216" s="45">
        <f t="shared" si="28"/>
        <v>90</v>
      </c>
      <c r="G216" s="58">
        <f t="shared" si="26"/>
        <v>1.5</v>
      </c>
      <c r="H216" s="5"/>
      <c r="I216" s="5"/>
      <c r="J216" s="5"/>
      <c r="K216" s="5"/>
      <c r="L216" s="5"/>
      <c r="M216" s="3">
        <v>30</v>
      </c>
      <c r="O216" s="3">
        <v>30</v>
      </c>
      <c r="P216" s="3">
        <v>30</v>
      </c>
    </row>
    <row r="217" spans="1:16" ht="15.75" hidden="1" x14ac:dyDescent="0.25">
      <c r="A217" s="48">
        <v>216</v>
      </c>
      <c r="B217" s="49" t="s">
        <v>494</v>
      </c>
      <c r="C217" s="49" t="s">
        <v>495</v>
      </c>
      <c r="D217" s="53" t="s">
        <v>64</v>
      </c>
      <c r="E217" s="53" t="s">
        <v>65</v>
      </c>
      <c r="F217" s="45">
        <f t="shared" si="27"/>
        <v>0</v>
      </c>
      <c r="G217" s="58">
        <f t="shared" si="26"/>
        <v>0</v>
      </c>
      <c r="H217" s="5"/>
      <c r="I217" s="5"/>
      <c r="J217" s="5"/>
      <c r="K217" s="5"/>
      <c r="L217" s="5"/>
    </row>
    <row r="218" spans="1:16" ht="15.75" hidden="1" x14ac:dyDescent="0.25">
      <c r="A218" s="48">
        <v>217</v>
      </c>
      <c r="B218" s="49" t="s">
        <v>496</v>
      </c>
      <c r="C218" s="49" t="s">
        <v>497</v>
      </c>
      <c r="D218" s="53" t="s">
        <v>47</v>
      </c>
      <c r="E218" s="53" t="s">
        <v>61</v>
      </c>
      <c r="F218" s="45">
        <f t="shared" ref="F218:F225" si="29">SUM($H218:$P218)</f>
        <v>120</v>
      </c>
      <c r="G218" s="58">
        <f t="shared" si="26"/>
        <v>2</v>
      </c>
      <c r="H218" s="5"/>
      <c r="I218" s="5"/>
      <c r="J218" s="5"/>
      <c r="K218" s="5">
        <v>90</v>
      </c>
      <c r="L218" s="5"/>
      <c r="O218" s="3">
        <v>30</v>
      </c>
    </row>
    <row r="219" spans="1:16" ht="15.75" hidden="1" x14ac:dyDescent="0.25">
      <c r="A219" s="48">
        <v>218</v>
      </c>
      <c r="B219" s="49" t="s">
        <v>498</v>
      </c>
      <c r="C219" s="49" t="s">
        <v>499</v>
      </c>
      <c r="D219" s="53" t="s">
        <v>47</v>
      </c>
      <c r="E219" s="53" t="s">
        <v>76</v>
      </c>
      <c r="F219" s="45">
        <f t="shared" si="29"/>
        <v>120</v>
      </c>
      <c r="G219" s="58">
        <f t="shared" si="26"/>
        <v>2</v>
      </c>
      <c r="H219" s="5"/>
      <c r="I219" s="5"/>
      <c r="J219" s="5"/>
      <c r="K219" s="5"/>
      <c r="L219" s="5">
        <v>60</v>
      </c>
      <c r="M219" s="3">
        <v>30</v>
      </c>
      <c r="O219" s="3">
        <v>30</v>
      </c>
    </row>
    <row r="220" spans="1:16" ht="15.75" hidden="1" x14ac:dyDescent="0.25">
      <c r="A220" s="48">
        <v>219</v>
      </c>
      <c r="B220" s="49" t="s">
        <v>500</v>
      </c>
      <c r="C220" s="49" t="s">
        <v>501</v>
      </c>
      <c r="D220" s="53" t="s">
        <v>47</v>
      </c>
      <c r="E220" s="53" t="s">
        <v>48</v>
      </c>
      <c r="F220" s="45">
        <f t="shared" si="29"/>
        <v>150</v>
      </c>
      <c r="G220" s="58">
        <f t="shared" si="26"/>
        <v>2.5</v>
      </c>
      <c r="H220" s="5"/>
      <c r="I220" s="5"/>
      <c r="J220" s="5"/>
      <c r="K220" s="5">
        <v>90</v>
      </c>
      <c r="L220" s="5">
        <v>60</v>
      </c>
    </row>
    <row r="221" spans="1:16" ht="15.75" hidden="1" x14ac:dyDescent="0.25">
      <c r="A221" s="48">
        <v>220</v>
      </c>
      <c r="B221" s="49" t="s">
        <v>502</v>
      </c>
      <c r="C221" s="49" t="s">
        <v>503</v>
      </c>
      <c r="D221" s="53" t="s">
        <v>47</v>
      </c>
      <c r="E221" s="53" t="s">
        <v>51</v>
      </c>
      <c r="F221" s="45">
        <f t="shared" si="29"/>
        <v>150</v>
      </c>
      <c r="G221" s="58">
        <f t="shared" si="26"/>
        <v>2.5</v>
      </c>
      <c r="H221" s="5"/>
      <c r="I221" s="5"/>
      <c r="J221" s="5"/>
      <c r="K221" s="5">
        <v>90</v>
      </c>
      <c r="L221" s="5"/>
      <c r="O221" s="3">
        <v>30</v>
      </c>
      <c r="P221" s="3">
        <v>30</v>
      </c>
    </row>
    <row r="222" spans="1:16" ht="15.75" hidden="1" x14ac:dyDescent="0.25">
      <c r="A222" s="48">
        <v>221</v>
      </c>
      <c r="B222" s="49" t="s">
        <v>504</v>
      </c>
      <c r="C222" s="49" t="s">
        <v>505</v>
      </c>
      <c r="D222" s="53" t="s">
        <v>47</v>
      </c>
      <c r="E222" s="53" t="s">
        <v>79</v>
      </c>
      <c r="F222" s="45">
        <f t="shared" si="29"/>
        <v>0</v>
      </c>
      <c r="G222" s="58">
        <f t="shared" si="26"/>
        <v>0</v>
      </c>
      <c r="H222" s="5"/>
      <c r="I222" s="5"/>
      <c r="J222" s="5"/>
      <c r="K222" s="5"/>
      <c r="L222" s="5"/>
    </row>
    <row r="223" spans="1:16" ht="15.75" hidden="1" x14ac:dyDescent="0.25">
      <c r="A223" s="48">
        <v>222</v>
      </c>
      <c r="B223" s="49" t="s">
        <v>506</v>
      </c>
      <c r="C223" s="49" t="s">
        <v>507</v>
      </c>
      <c r="D223" s="53" t="s">
        <v>47</v>
      </c>
      <c r="E223" s="53" t="s">
        <v>48</v>
      </c>
      <c r="F223" s="45">
        <f t="shared" si="29"/>
        <v>30</v>
      </c>
      <c r="G223" s="58">
        <f t="shared" si="26"/>
        <v>0.5</v>
      </c>
      <c r="H223" s="5"/>
      <c r="I223" s="5"/>
      <c r="J223" s="5"/>
      <c r="K223" s="5"/>
      <c r="L223" s="5"/>
      <c r="M223" s="3">
        <v>30</v>
      </c>
    </row>
    <row r="224" spans="1:16" ht="15.75" hidden="1" x14ac:dyDescent="0.25">
      <c r="A224" s="48">
        <v>223</v>
      </c>
      <c r="B224" s="49" t="s">
        <v>508</v>
      </c>
      <c r="C224" s="49" t="s">
        <v>509</v>
      </c>
      <c r="D224" s="53" t="s">
        <v>47</v>
      </c>
      <c r="E224" s="53" t="s">
        <v>56</v>
      </c>
      <c r="F224" s="45">
        <f t="shared" si="29"/>
        <v>151</v>
      </c>
      <c r="G224" s="58">
        <f t="shared" si="26"/>
        <v>2.5166666666666666</v>
      </c>
      <c r="H224" s="5">
        <v>90</v>
      </c>
      <c r="I224" s="5">
        <v>61</v>
      </c>
      <c r="J224" s="5"/>
      <c r="K224" s="5"/>
      <c r="L224" s="5"/>
    </row>
    <row r="225" spans="1:16" ht="15.75" hidden="1" x14ac:dyDescent="0.25">
      <c r="A225" s="48">
        <v>224</v>
      </c>
      <c r="B225" s="49" t="s">
        <v>510</v>
      </c>
      <c r="C225" s="49" t="s">
        <v>511</v>
      </c>
      <c r="D225" s="53" t="s">
        <v>47</v>
      </c>
      <c r="E225" s="53" t="s">
        <v>105</v>
      </c>
      <c r="F225" s="45">
        <f t="shared" si="29"/>
        <v>0</v>
      </c>
      <c r="G225" s="58">
        <f t="shared" si="26"/>
        <v>0</v>
      </c>
      <c r="H225" s="5"/>
      <c r="I225" s="5"/>
      <c r="J225" s="5"/>
      <c r="K225" s="5"/>
      <c r="L225" s="5"/>
    </row>
    <row r="226" spans="1:16" ht="15.75" hidden="1" x14ac:dyDescent="0.25">
      <c r="A226" s="48">
        <v>225</v>
      </c>
      <c r="B226" s="49" t="s">
        <v>512</v>
      </c>
      <c r="C226" s="49" t="s">
        <v>513</v>
      </c>
      <c r="D226" s="53" t="s">
        <v>82</v>
      </c>
      <c r="E226" s="53" t="s">
        <v>140</v>
      </c>
      <c r="F226" s="45">
        <f t="shared" si="27"/>
        <v>0</v>
      </c>
      <c r="G226" s="58">
        <f t="shared" si="26"/>
        <v>0</v>
      </c>
      <c r="H226" s="5"/>
      <c r="I226" s="5"/>
      <c r="J226" s="5"/>
      <c r="K226" s="5"/>
      <c r="L226" s="5"/>
    </row>
    <row r="227" spans="1:16" ht="15.75" hidden="1" x14ac:dyDescent="0.25">
      <c r="A227" s="48">
        <v>226</v>
      </c>
      <c r="B227" s="49" t="s">
        <v>514</v>
      </c>
      <c r="C227" s="49" t="s">
        <v>515</v>
      </c>
      <c r="D227" s="53" t="s">
        <v>47</v>
      </c>
      <c r="E227" s="53" t="s">
        <v>48</v>
      </c>
      <c r="F227" s="45">
        <f t="shared" ref="F227:F246" si="30">SUM($H227:$P227)</f>
        <v>90</v>
      </c>
      <c r="G227" s="58">
        <f t="shared" si="26"/>
        <v>1.5</v>
      </c>
      <c r="H227" s="5"/>
      <c r="I227" s="5"/>
      <c r="J227" s="5"/>
      <c r="K227" s="5"/>
      <c r="L227" s="5"/>
      <c r="M227" s="3">
        <v>30</v>
      </c>
      <c r="N227" s="3">
        <v>30</v>
      </c>
      <c r="O227" s="3">
        <v>30</v>
      </c>
    </row>
    <row r="228" spans="1:16" ht="15.75" hidden="1" x14ac:dyDescent="0.25">
      <c r="A228" s="48">
        <v>227</v>
      </c>
      <c r="B228" s="49" t="s">
        <v>516</v>
      </c>
      <c r="C228" s="49" t="s">
        <v>517</v>
      </c>
      <c r="D228" s="53" t="s">
        <v>47</v>
      </c>
      <c r="E228" s="53" t="s">
        <v>48</v>
      </c>
      <c r="F228" s="45">
        <f t="shared" si="30"/>
        <v>30</v>
      </c>
      <c r="G228" s="58">
        <f t="shared" si="26"/>
        <v>0.5</v>
      </c>
      <c r="H228" s="5"/>
      <c r="I228" s="5"/>
      <c r="J228" s="5"/>
      <c r="K228" s="5"/>
      <c r="L228" s="5"/>
      <c r="N228" s="3">
        <v>30</v>
      </c>
    </row>
    <row r="229" spans="1:16" ht="15.75" hidden="1" x14ac:dyDescent="0.25">
      <c r="A229" s="48">
        <v>228</v>
      </c>
      <c r="B229" s="49" t="s">
        <v>518</v>
      </c>
      <c r="C229" s="49" t="s">
        <v>519</v>
      </c>
      <c r="D229" s="53" t="s">
        <v>47</v>
      </c>
      <c r="E229" s="53" t="s">
        <v>105</v>
      </c>
      <c r="F229" s="45">
        <f t="shared" si="30"/>
        <v>90</v>
      </c>
      <c r="G229" s="58">
        <f t="shared" si="26"/>
        <v>1.5</v>
      </c>
      <c r="H229" s="5">
        <v>90</v>
      </c>
      <c r="I229" s="5"/>
      <c r="J229" s="5"/>
      <c r="K229" s="5"/>
      <c r="L229" s="5"/>
    </row>
    <row r="230" spans="1:16" ht="15.75" hidden="1" x14ac:dyDescent="0.25">
      <c r="A230" s="48">
        <v>229</v>
      </c>
      <c r="B230" s="49" t="s">
        <v>520</v>
      </c>
      <c r="C230" s="49" t="s">
        <v>521</v>
      </c>
      <c r="D230" s="53" t="s">
        <v>47</v>
      </c>
      <c r="E230" s="53" t="s">
        <v>61</v>
      </c>
      <c r="F230" s="45">
        <f t="shared" si="30"/>
        <v>105</v>
      </c>
      <c r="G230" s="58">
        <f t="shared" si="26"/>
        <v>1.75</v>
      </c>
      <c r="H230" s="5"/>
      <c r="I230" s="5">
        <v>45</v>
      </c>
      <c r="J230" s="5"/>
      <c r="K230" s="5"/>
      <c r="L230" s="5"/>
      <c r="M230" s="3">
        <v>30</v>
      </c>
      <c r="P230" s="3">
        <v>30</v>
      </c>
    </row>
    <row r="231" spans="1:16" ht="15.75" hidden="1" x14ac:dyDescent="0.25">
      <c r="A231" s="48">
        <v>230</v>
      </c>
      <c r="B231" s="49" t="s">
        <v>522</v>
      </c>
      <c r="C231" s="49" t="s">
        <v>523</v>
      </c>
      <c r="D231" s="53" t="s">
        <v>47</v>
      </c>
      <c r="E231" s="53" t="s">
        <v>48</v>
      </c>
      <c r="F231" s="45">
        <f t="shared" si="30"/>
        <v>90</v>
      </c>
      <c r="G231" s="58">
        <f t="shared" si="26"/>
        <v>1.5</v>
      </c>
      <c r="H231" s="5"/>
      <c r="I231" s="5"/>
      <c r="J231" s="5"/>
      <c r="K231" s="5"/>
      <c r="L231" s="5"/>
      <c r="N231" s="3">
        <v>30</v>
      </c>
      <c r="O231" s="3">
        <v>30</v>
      </c>
      <c r="P231" s="3">
        <v>30</v>
      </c>
    </row>
    <row r="232" spans="1:16" ht="15.75" hidden="1" x14ac:dyDescent="0.25">
      <c r="A232" s="48">
        <v>231</v>
      </c>
      <c r="B232" s="49" t="s">
        <v>524</v>
      </c>
      <c r="C232" s="49" t="s">
        <v>525</v>
      </c>
      <c r="D232" s="53" t="s">
        <v>47</v>
      </c>
      <c r="E232" s="53" t="s">
        <v>48</v>
      </c>
      <c r="F232" s="45">
        <f t="shared" si="30"/>
        <v>30</v>
      </c>
      <c r="G232" s="58">
        <f t="shared" si="26"/>
        <v>0.5</v>
      </c>
      <c r="H232" s="5"/>
      <c r="I232" s="5"/>
      <c r="J232" s="5"/>
      <c r="K232" s="5"/>
      <c r="L232" s="5"/>
      <c r="O232" s="3">
        <v>30</v>
      </c>
    </row>
    <row r="233" spans="1:16" ht="15.75" hidden="1" x14ac:dyDescent="0.25">
      <c r="A233" s="48">
        <v>232</v>
      </c>
      <c r="B233" s="49" t="s">
        <v>526</v>
      </c>
      <c r="C233" s="49" t="s">
        <v>527</v>
      </c>
      <c r="D233" s="53" t="s">
        <v>47</v>
      </c>
      <c r="E233" s="53" t="s">
        <v>105</v>
      </c>
      <c r="F233" s="45">
        <f t="shared" si="30"/>
        <v>90</v>
      </c>
      <c r="G233" s="58">
        <f t="shared" si="26"/>
        <v>1.5</v>
      </c>
      <c r="H233" s="5">
        <v>90</v>
      </c>
      <c r="I233" s="5"/>
      <c r="J233" s="5"/>
      <c r="K233" s="5"/>
      <c r="L233" s="5"/>
    </row>
    <row r="234" spans="1:16" ht="15.75" hidden="1" x14ac:dyDescent="0.25">
      <c r="A234" s="48">
        <v>233</v>
      </c>
      <c r="B234" s="49" t="s">
        <v>528</v>
      </c>
      <c r="C234" s="49" t="s">
        <v>529</v>
      </c>
      <c r="D234" s="53" t="s">
        <v>47</v>
      </c>
      <c r="E234" s="53" t="s">
        <v>205</v>
      </c>
      <c r="F234" s="45">
        <f t="shared" si="30"/>
        <v>0</v>
      </c>
      <c r="G234" s="58">
        <f t="shared" si="26"/>
        <v>0</v>
      </c>
      <c r="H234" s="5"/>
      <c r="I234" s="5"/>
      <c r="J234" s="5"/>
      <c r="K234" s="5"/>
      <c r="L234" s="5"/>
    </row>
    <row r="235" spans="1:16" ht="15.75" hidden="1" x14ac:dyDescent="0.25">
      <c r="A235" s="48">
        <v>234</v>
      </c>
      <c r="B235" s="49" t="s">
        <v>530</v>
      </c>
      <c r="C235" s="49" t="s">
        <v>531</v>
      </c>
      <c r="D235" s="53" t="s">
        <v>47</v>
      </c>
      <c r="E235" s="53" t="s">
        <v>48</v>
      </c>
      <c r="F235" s="45">
        <f t="shared" si="30"/>
        <v>60</v>
      </c>
      <c r="G235" s="58">
        <f t="shared" si="26"/>
        <v>1</v>
      </c>
      <c r="H235" s="5"/>
      <c r="I235" s="5"/>
      <c r="J235" s="5"/>
      <c r="K235" s="5"/>
      <c r="L235" s="5"/>
      <c r="O235" s="3">
        <v>30</v>
      </c>
      <c r="P235" s="3">
        <v>30</v>
      </c>
    </row>
    <row r="236" spans="1:16" ht="15.75" hidden="1" x14ac:dyDescent="0.25">
      <c r="A236" s="48">
        <v>235</v>
      </c>
      <c r="B236" s="49" t="s">
        <v>532</v>
      </c>
      <c r="C236" s="49" t="s">
        <v>533</v>
      </c>
      <c r="D236" s="53" t="s">
        <v>47</v>
      </c>
      <c r="E236" s="53" t="s">
        <v>48</v>
      </c>
      <c r="F236" s="45">
        <f t="shared" si="30"/>
        <v>433</v>
      </c>
      <c r="G236" s="58">
        <f t="shared" si="26"/>
        <v>7.2166666666666668</v>
      </c>
      <c r="H236" s="5">
        <v>90</v>
      </c>
      <c r="I236" s="5">
        <v>73</v>
      </c>
      <c r="J236" s="5"/>
      <c r="K236" s="5">
        <v>90</v>
      </c>
      <c r="L236" s="5">
        <v>60</v>
      </c>
      <c r="M236" s="3">
        <v>30</v>
      </c>
      <c r="N236" s="3">
        <v>30</v>
      </c>
      <c r="O236" s="3">
        <v>30</v>
      </c>
      <c r="P236" s="3">
        <v>30</v>
      </c>
    </row>
    <row r="237" spans="1:16" ht="15.75" hidden="1" x14ac:dyDescent="0.25">
      <c r="A237" s="48">
        <v>236</v>
      </c>
      <c r="B237" s="49" t="s">
        <v>534</v>
      </c>
      <c r="C237" s="49" t="s">
        <v>535</v>
      </c>
      <c r="D237" s="53" t="s">
        <v>47</v>
      </c>
      <c r="E237" s="53" t="s">
        <v>48</v>
      </c>
      <c r="F237" s="45">
        <f t="shared" si="30"/>
        <v>120</v>
      </c>
      <c r="G237" s="58">
        <f t="shared" si="26"/>
        <v>2</v>
      </c>
      <c r="H237" s="5"/>
      <c r="I237" s="5"/>
      <c r="J237" s="5"/>
      <c r="K237" s="5">
        <v>90</v>
      </c>
      <c r="L237" s="5"/>
      <c r="P237" s="3">
        <v>30</v>
      </c>
    </row>
    <row r="238" spans="1:16" ht="15.75" hidden="1" x14ac:dyDescent="0.25">
      <c r="A238" s="48">
        <v>237</v>
      </c>
      <c r="B238" s="49" t="s">
        <v>536</v>
      </c>
      <c r="C238" s="49" t="s">
        <v>537</v>
      </c>
      <c r="D238" s="53" t="s">
        <v>47</v>
      </c>
      <c r="E238" s="53" t="s">
        <v>51</v>
      </c>
      <c r="F238" s="45">
        <f t="shared" si="30"/>
        <v>30</v>
      </c>
      <c r="G238" s="58">
        <f t="shared" si="26"/>
        <v>0.5</v>
      </c>
      <c r="H238" s="5"/>
      <c r="I238" s="5"/>
      <c r="J238" s="5"/>
      <c r="K238" s="5"/>
      <c r="L238" s="5"/>
      <c r="P238" s="3">
        <v>30</v>
      </c>
    </row>
    <row r="239" spans="1:16" ht="15.75" hidden="1" x14ac:dyDescent="0.25">
      <c r="A239" s="48">
        <v>238</v>
      </c>
      <c r="B239" s="49" t="s">
        <v>538</v>
      </c>
      <c r="C239" s="49" t="s">
        <v>539</v>
      </c>
      <c r="D239" s="53" t="s">
        <v>47</v>
      </c>
      <c r="E239" s="53" t="s">
        <v>51</v>
      </c>
      <c r="F239" s="45">
        <f t="shared" si="30"/>
        <v>0</v>
      </c>
      <c r="G239" s="58">
        <f t="shared" si="26"/>
        <v>0</v>
      </c>
      <c r="H239" s="5"/>
      <c r="I239" s="5"/>
      <c r="J239" s="5"/>
      <c r="K239" s="5"/>
      <c r="L239" s="5"/>
    </row>
    <row r="240" spans="1:16" ht="15.75" hidden="1" x14ac:dyDescent="0.25">
      <c r="A240" s="48">
        <v>239</v>
      </c>
      <c r="B240" s="49" t="s">
        <v>540</v>
      </c>
      <c r="C240" s="49" t="s">
        <v>541</v>
      </c>
      <c r="D240" s="53" t="s">
        <v>47</v>
      </c>
      <c r="E240" s="53" t="s">
        <v>51</v>
      </c>
      <c r="F240" s="45">
        <f t="shared" si="30"/>
        <v>0</v>
      </c>
      <c r="G240" s="58">
        <f t="shared" si="26"/>
        <v>0</v>
      </c>
      <c r="H240" s="5"/>
      <c r="I240" s="5"/>
      <c r="J240" s="5"/>
      <c r="K240" s="5"/>
      <c r="L240" s="5"/>
    </row>
    <row r="241" spans="1:16" ht="15.75" hidden="1" x14ac:dyDescent="0.25">
      <c r="A241" s="48">
        <v>240</v>
      </c>
      <c r="B241" s="49" t="s">
        <v>542</v>
      </c>
      <c r="C241" s="49" t="s">
        <v>543</v>
      </c>
      <c r="D241" s="53" t="s">
        <v>47</v>
      </c>
      <c r="E241" s="53" t="s">
        <v>105</v>
      </c>
      <c r="F241" s="45">
        <f t="shared" si="30"/>
        <v>0</v>
      </c>
      <c r="G241" s="58">
        <f t="shared" si="26"/>
        <v>0</v>
      </c>
      <c r="H241" s="5"/>
      <c r="I241" s="5"/>
      <c r="J241" s="5"/>
      <c r="K241" s="5"/>
      <c r="L241" s="5"/>
    </row>
    <row r="242" spans="1:16" ht="15.75" hidden="1" x14ac:dyDescent="0.25">
      <c r="A242" s="48">
        <v>241</v>
      </c>
      <c r="B242" s="49" t="s">
        <v>544</v>
      </c>
      <c r="C242" s="49" t="s">
        <v>545</v>
      </c>
      <c r="D242" s="53" t="s">
        <v>47</v>
      </c>
      <c r="E242" s="53" t="s">
        <v>105</v>
      </c>
      <c r="F242" s="45">
        <f t="shared" si="30"/>
        <v>0</v>
      </c>
      <c r="G242" s="58">
        <f t="shared" si="26"/>
        <v>0</v>
      </c>
      <c r="H242" s="5"/>
      <c r="I242" s="5"/>
      <c r="J242" s="5"/>
      <c r="K242" s="5"/>
      <c r="L242" s="5"/>
    </row>
    <row r="243" spans="1:16" ht="15.75" hidden="1" x14ac:dyDescent="0.25">
      <c r="A243" s="48">
        <v>242</v>
      </c>
      <c r="B243" s="49" t="s">
        <v>546</v>
      </c>
      <c r="C243" s="49" t="s">
        <v>547</v>
      </c>
      <c r="D243" s="53" t="s">
        <v>47</v>
      </c>
      <c r="E243" s="53" t="s">
        <v>48</v>
      </c>
      <c r="F243" s="45">
        <f t="shared" si="30"/>
        <v>377</v>
      </c>
      <c r="G243" s="58">
        <f t="shared" si="26"/>
        <v>6.2833333333333332</v>
      </c>
      <c r="H243" s="5">
        <v>90</v>
      </c>
      <c r="I243" s="5">
        <v>77</v>
      </c>
      <c r="J243" s="5"/>
      <c r="K243" s="5">
        <v>90</v>
      </c>
      <c r="L243" s="5">
        <v>60</v>
      </c>
      <c r="O243" s="3">
        <v>30</v>
      </c>
      <c r="P243" s="3">
        <v>30</v>
      </c>
    </row>
    <row r="244" spans="1:16" ht="15.75" hidden="1" x14ac:dyDescent="0.25">
      <c r="A244" s="48">
        <v>243</v>
      </c>
      <c r="B244" s="49" t="s">
        <v>548</v>
      </c>
      <c r="C244" s="49" t="s">
        <v>549</v>
      </c>
      <c r="D244" s="53" t="s">
        <v>47</v>
      </c>
      <c r="E244" s="53" t="s">
        <v>56</v>
      </c>
      <c r="F244" s="45">
        <f t="shared" si="30"/>
        <v>0</v>
      </c>
      <c r="G244" s="58">
        <f t="shared" si="26"/>
        <v>0</v>
      </c>
      <c r="H244" s="5"/>
      <c r="I244" s="5"/>
      <c r="J244" s="5"/>
      <c r="K244" s="5"/>
      <c r="L244" s="5"/>
    </row>
    <row r="245" spans="1:16" ht="15.75" hidden="1" x14ac:dyDescent="0.25">
      <c r="A245" s="48">
        <v>244</v>
      </c>
      <c r="B245" s="49" t="s">
        <v>550</v>
      </c>
      <c r="C245" s="49" t="s">
        <v>551</v>
      </c>
      <c r="D245" s="53" t="s">
        <v>47</v>
      </c>
      <c r="E245" s="53" t="s">
        <v>105</v>
      </c>
      <c r="F245" s="45">
        <f t="shared" si="30"/>
        <v>0</v>
      </c>
      <c r="G245" s="58">
        <f t="shared" si="26"/>
        <v>0</v>
      </c>
      <c r="H245" s="5"/>
      <c r="I245" s="5"/>
      <c r="J245" s="5"/>
      <c r="K245" s="5"/>
      <c r="L245" s="5"/>
    </row>
    <row r="246" spans="1:16" ht="15.75" hidden="1" x14ac:dyDescent="0.25">
      <c r="A246" s="48">
        <v>245</v>
      </c>
      <c r="B246" s="49" t="s">
        <v>552</v>
      </c>
      <c r="C246" s="49" t="s">
        <v>553</v>
      </c>
      <c r="D246" s="53" t="s">
        <v>47</v>
      </c>
      <c r="E246" s="53" t="s">
        <v>79</v>
      </c>
      <c r="F246" s="45">
        <f t="shared" si="30"/>
        <v>0</v>
      </c>
      <c r="G246" s="58">
        <f t="shared" si="26"/>
        <v>0</v>
      </c>
      <c r="H246" s="5"/>
      <c r="I246" s="5"/>
      <c r="J246" s="5"/>
      <c r="K246" s="5"/>
      <c r="L246" s="5"/>
    </row>
    <row r="247" spans="1:16" ht="15.75" hidden="1" x14ac:dyDescent="0.25">
      <c r="A247" s="48">
        <v>246</v>
      </c>
      <c r="B247" s="49" t="s">
        <v>554</v>
      </c>
      <c r="C247" s="49" t="s">
        <v>555</v>
      </c>
      <c r="D247" s="53" t="s">
        <v>82</v>
      </c>
      <c r="E247" s="53" t="s">
        <v>83</v>
      </c>
      <c r="F247" s="45">
        <f t="shared" si="27"/>
        <v>0</v>
      </c>
      <c r="G247" s="58">
        <f t="shared" si="26"/>
        <v>0</v>
      </c>
      <c r="H247" s="5"/>
      <c r="I247" s="5"/>
      <c r="J247" s="5"/>
      <c r="K247" s="5"/>
      <c r="L247" s="5"/>
    </row>
    <row r="248" spans="1:16" ht="15.75" hidden="1" x14ac:dyDescent="0.25">
      <c r="A248" s="48">
        <v>247</v>
      </c>
      <c r="B248" s="49" t="s">
        <v>556</v>
      </c>
      <c r="C248" s="49" t="s">
        <v>557</v>
      </c>
      <c r="D248" s="53" t="s">
        <v>64</v>
      </c>
      <c r="E248" s="53" t="s">
        <v>186</v>
      </c>
      <c r="F248" s="45">
        <f t="shared" si="27"/>
        <v>0</v>
      </c>
      <c r="G248" s="58">
        <f t="shared" si="26"/>
        <v>0</v>
      </c>
      <c r="H248" s="5"/>
      <c r="I248" s="5"/>
      <c r="J248" s="5"/>
      <c r="K248" s="5"/>
      <c r="L248" s="5"/>
    </row>
    <row r="249" spans="1:16" ht="15.75" hidden="1" x14ac:dyDescent="0.25">
      <c r="A249" s="48">
        <v>248</v>
      </c>
      <c r="B249" s="49" t="s">
        <v>558</v>
      </c>
      <c r="C249" s="49" t="s">
        <v>559</v>
      </c>
      <c r="D249" s="53" t="s">
        <v>47</v>
      </c>
      <c r="E249" s="53" t="s">
        <v>48</v>
      </c>
      <c r="F249" s="45">
        <f t="shared" ref="F249:F250" si="31">SUM($H249:$P249)</f>
        <v>240</v>
      </c>
      <c r="G249" s="58">
        <f t="shared" si="26"/>
        <v>4</v>
      </c>
      <c r="H249" s="5"/>
      <c r="I249" s="5"/>
      <c r="J249" s="5">
        <v>60</v>
      </c>
      <c r="K249" s="5">
        <v>90</v>
      </c>
      <c r="L249" s="5"/>
      <c r="N249" s="3">
        <v>30</v>
      </c>
      <c r="O249" s="3">
        <v>30</v>
      </c>
      <c r="P249" s="3">
        <v>30</v>
      </c>
    </row>
    <row r="250" spans="1:16" ht="15.75" hidden="1" x14ac:dyDescent="0.25">
      <c r="A250" s="48">
        <v>249</v>
      </c>
      <c r="B250" s="49" t="s">
        <v>560</v>
      </c>
      <c r="C250" s="49" t="s">
        <v>561</v>
      </c>
      <c r="D250" s="53" t="s">
        <v>47</v>
      </c>
      <c r="E250" s="53" t="s">
        <v>48</v>
      </c>
      <c r="F250" s="45">
        <f t="shared" si="31"/>
        <v>120</v>
      </c>
      <c r="G250" s="58">
        <f t="shared" si="26"/>
        <v>2</v>
      </c>
      <c r="H250" s="5"/>
      <c r="I250" s="5"/>
      <c r="J250" s="5"/>
      <c r="K250" s="5">
        <v>90</v>
      </c>
      <c r="L250" s="5"/>
      <c r="P250" s="3">
        <v>30</v>
      </c>
    </row>
    <row r="251" spans="1:16" ht="15.75" hidden="1" x14ac:dyDescent="0.25">
      <c r="A251" s="48">
        <v>250</v>
      </c>
      <c r="B251" s="49" t="s">
        <v>562</v>
      </c>
      <c r="C251" s="49" t="s">
        <v>563</v>
      </c>
      <c r="D251" s="53" t="s">
        <v>64</v>
      </c>
      <c r="E251" s="53" t="s">
        <v>186</v>
      </c>
      <c r="F251" s="45">
        <f t="shared" si="27"/>
        <v>0</v>
      </c>
      <c r="G251" s="58">
        <f t="shared" si="26"/>
        <v>0</v>
      </c>
      <c r="H251" s="5"/>
      <c r="I251" s="5"/>
      <c r="J251" s="5"/>
      <c r="K251" s="5"/>
      <c r="L251" s="5"/>
    </row>
    <row r="252" spans="1:16" ht="15.75" hidden="1" x14ac:dyDescent="0.25">
      <c r="A252" s="48">
        <v>251</v>
      </c>
      <c r="B252" s="49" t="s">
        <v>564</v>
      </c>
      <c r="C252" s="49" t="s">
        <v>565</v>
      </c>
      <c r="D252" s="53" t="s">
        <v>47</v>
      </c>
      <c r="E252" s="53" t="s">
        <v>51</v>
      </c>
      <c r="F252" s="45">
        <f t="shared" ref="F252:F253" si="32">SUM($H252:$P252)</f>
        <v>30</v>
      </c>
      <c r="G252" s="58">
        <f t="shared" si="26"/>
        <v>0.5</v>
      </c>
      <c r="H252" s="5"/>
      <c r="I252" s="5"/>
      <c r="J252" s="5"/>
      <c r="K252" s="5"/>
      <c r="L252" s="5"/>
      <c r="O252" s="3">
        <v>30</v>
      </c>
    </row>
    <row r="253" spans="1:16" ht="15.75" hidden="1" x14ac:dyDescent="0.25">
      <c r="A253" s="48">
        <v>252</v>
      </c>
      <c r="B253" s="49" t="s">
        <v>566</v>
      </c>
      <c r="C253" s="49" t="s">
        <v>567</v>
      </c>
      <c r="D253" s="53" t="s">
        <v>47</v>
      </c>
      <c r="E253" s="53" t="s">
        <v>51</v>
      </c>
      <c r="F253" s="45">
        <f t="shared" si="32"/>
        <v>120</v>
      </c>
      <c r="G253" s="58">
        <f t="shared" si="26"/>
        <v>2</v>
      </c>
      <c r="H253" s="5">
        <v>90</v>
      </c>
      <c r="I253" s="5"/>
      <c r="J253" s="5"/>
      <c r="K253" s="5"/>
      <c r="L253" s="5"/>
      <c r="P253" s="3">
        <v>30</v>
      </c>
    </row>
    <row r="254" spans="1:16" ht="15.75" hidden="1" x14ac:dyDescent="0.25">
      <c r="A254" s="48">
        <v>253</v>
      </c>
      <c r="B254" s="49" t="s">
        <v>568</v>
      </c>
      <c r="C254" s="49" t="s">
        <v>569</v>
      </c>
      <c r="D254" s="53" t="s">
        <v>64</v>
      </c>
      <c r="E254" s="53" t="s">
        <v>186</v>
      </c>
      <c r="F254" s="45">
        <f t="shared" si="27"/>
        <v>0</v>
      </c>
      <c r="G254" s="58">
        <f t="shared" si="26"/>
        <v>0</v>
      </c>
      <c r="H254" s="5"/>
      <c r="I254" s="5"/>
      <c r="J254" s="5"/>
      <c r="K254" s="5"/>
      <c r="L254" s="5"/>
    </row>
    <row r="255" spans="1:16" ht="15.75" hidden="1" x14ac:dyDescent="0.25">
      <c r="A255" s="48">
        <v>254</v>
      </c>
      <c r="B255" s="49" t="s">
        <v>570</v>
      </c>
      <c r="C255" s="49" t="s">
        <v>571</v>
      </c>
      <c r="D255" s="53" t="s">
        <v>47</v>
      </c>
      <c r="E255" s="53" t="s">
        <v>48</v>
      </c>
      <c r="F255" s="45">
        <f t="shared" ref="F255:F257" si="33">SUM($H255:$P255)</f>
        <v>468</v>
      </c>
      <c r="G255" s="58">
        <f t="shared" si="26"/>
        <v>7.8</v>
      </c>
      <c r="H255" s="5">
        <v>90</v>
      </c>
      <c r="I255" s="5">
        <v>78</v>
      </c>
      <c r="J255" s="5">
        <v>60</v>
      </c>
      <c r="K255" s="5">
        <v>90</v>
      </c>
      <c r="L255" s="5">
        <v>60</v>
      </c>
      <c r="M255" s="3">
        <v>30</v>
      </c>
      <c r="O255" s="3">
        <v>30</v>
      </c>
      <c r="P255" s="3">
        <v>30</v>
      </c>
    </row>
    <row r="256" spans="1:16" ht="15.75" hidden="1" x14ac:dyDescent="0.25">
      <c r="A256" s="48">
        <v>255</v>
      </c>
      <c r="B256" s="49" t="s">
        <v>572</v>
      </c>
      <c r="C256" s="49" t="s">
        <v>573</v>
      </c>
      <c r="D256" s="53" t="s">
        <v>47</v>
      </c>
      <c r="E256" s="53" t="s">
        <v>48</v>
      </c>
      <c r="F256" s="45">
        <f t="shared" si="33"/>
        <v>60</v>
      </c>
      <c r="G256" s="58">
        <f t="shared" si="26"/>
        <v>1</v>
      </c>
      <c r="H256" s="5"/>
      <c r="I256" s="5"/>
      <c r="J256" s="5"/>
      <c r="K256" s="5"/>
      <c r="L256" s="5"/>
      <c r="M256" s="3">
        <v>30</v>
      </c>
      <c r="P256" s="3">
        <v>30</v>
      </c>
    </row>
    <row r="257" spans="1:16" ht="15.75" hidden="1" x14ac:dyDescent="0.25">
      <c r="A257" s="48">
        <v>256</v>
      </c>
      <c r="B257" s="49" t="s">
        <v>574</v>
      </c>
      <c r="C257" s="49" t="s">
        <v>575</v>
      </c>
      <c r="D257" s="53" t="s">
        <v>47</v>
      </c>
      <c r="E257" s="53" t="s">
        <v>48</v>
      </c>
      <c r="F257" s="45">
        <f t="shared" si="33"/>
        <v>0</v>
      </c>
      <c r="G257" s="58">
        <f t="shared" si="26"/>
        <v>0</v>
      </c>
      <c r="H257" s="5"/>
      <c r="I257" s="5"/>
      <c r="J257" s="5"/>
      <c r="K257" s="5"/>
      <c r="L257" s="5"/>
    </row>
    <row r="258" spans="1:16" ht="15.75" hidden="1" x14ac:dyDescent="0.25">
      <c r="A258" s="48">
        <v>257</v>
      </c>
      <c r="B258" s="49" t="s">
        <v>576</v>
      </c>
      <c r="C258" s="49" t="s">
        <v>577</v>
      </c>
      <c r="D258" s="53" t="s">
        <v>64</v>
      </c>
      <c r="E258" s="53" t="s">
        <v>65</v>
      </c>
      <c r="F258" s="45">
        <f t="shared" ref="F258:F300" si="34">SUM($H258:$K258)</f>
        <v>0</v>
      </c>
      <c r="G258" s="58">
        <f t="shared" si="26"/>
        <v>0</v>
      </c>
      <c r="H258" s="5"/>
      <c r="I258" s="5"/>
      <c r="J258" s="5"/>
      <c r="K258" s="5"/>
      <c r="L258" s="5"/>
    </row>
    <row r="259" spans="1:16" ht="15.75" hidden="1" x14ac:dyDescent="0.25">
      <c r="A259" s="48">
        <v>258</v>
      </c>
      <c r="B259" s="49" t="s">
        <v>578</v>
      </c>
      <c r="C259" s="49" t="s">
        <v>579</v>
      </c>
      <c r="D259" s="53" t="s">
        <v>47</v>
      </c>
      <c r="E259" s="53" t="s">
        <v>48</v>
      </c>
      <c r="F259" s="45">
        <f t="shared" ref="F259:F270" si="35">SUM($H259:$P259)</f>
        <v>120</v>
      </c>
      <c r="G259" s="58">
        <f t="shared" si="26"/>
        <v>2</v>
      </c>
      <c r="H259" s="5">
        <v>90</v>
      </c>
      <c r="I259" s="5"/>
      <c r="J259" s="5"/>
      <c r="K259" s="5"/>
      <c r="L259" s="5"/>
      <c r="N259" s="3">
        <v>30</v>
      </c>
    </row>
    <row r="260" spans="1:16" ht="15.75" hidden="1" x14ac:dyDescent="0.25">
      <c r="A260" s="48">
        <v>259</v>
      </c>
      <c r="B260" s="49" t="s">
        <v>580</v>
      </c>
      <c r="C260" s="49" t="s">
        <v>581</v>
      </c>
      <c r="D260" s="53" t="s">
        <v>47</v>
      </c>
      <c r="E260" s="53" t="s">
        <v>116</v>
      </c>
      <c r="F260" s="45">
        <f t="shared" si="35"/>
        <v>114</v>
      </c>
      <c r="G260" s="58">
        <f t="shared" si="26"/>
        <v>1.9</v>
      </c>
      <c r="H260" s="5"/>
      <c r="I260" s="5">
        <v>54</v>
      </c>
      <c r="J260" s="5"/>
      <c r="K260" s="5"/>
      <c r="L260" s="5">
        <v>60</v>
      </c>
    </row>
    <row r="261" spans="1:16" ht="15.75" hidden="1" x14ac:dyDescent="0.25">
      <c r="A261" s="48">
        <v>260</v>
      </c>
      <c r="B261" s="49" t="s">
        <v>582</v>
      </c>
      <c r="C261" s="49" t="s">
        <v>583</v>
      </c>
      <c r="D261" s="53" t="s">
        <v>47</v>
      </c>
      <c r="E261" s="53" t="s">
        <v>61</v>
      </c>
      <c r="F261" s="45">
        <f t="shared" si="35"/>
        <v>0</v>
      </c>
      <c r="G261" s="58">
        <f t="shared" si="26"/>
        <v>0</v>
      </c>
      <c r="H261" s="5"/>
      <c r="I261" s="5"/>
      <c r="J261" s="5"/>
      <c r="K261" s="5"/>
      <c r="L261" s="5"/>
    </row>
    <row r="262" spans="1:16" ht="15.75" hidden="1" x14ac:dyDescent="0.25">
      <c r="A262" s="48">
        <v>261</v>
      </c>
      <c r="B262" s="49" t="s">
        <v>584</v>
      </c>
      <c r="C262" s="49" t="s">
        <v>585</v>
      </c>
      <c r="D262" s="53" t="s">
        <v>47</v>
      </c>
      <c r="E262" s="53" t="s">
        <v>48</v>
      </c>
      <c r="F262" s="45">
        <f t="shared" si="35"/>
        <v>270</v>
      </c>
      <c r="G262" s="58">
        <f t="shared" si="26"/>
        <v>4.5</v>
      </c>
      <c r="H262" s="5">
        <v>90</v>
      </c>
      <c r="I262" s="5"/>
      <c r="J262" s="5"/>
      <c r="K262" s="5">
        <v>90</v>
      </c>
      <c r="L262" s="5"/>
      <c r="M262" s="3">
        <v>30</v>
      </c>
      <c r="N262" s="3">
        <v>30</v>
      </c>
      <c r="P262" s="3">
        <v>30</v>
      </c>
    </row>
    <row r="263" spans="1:16" ht="15.75" hidden="1" x14ac:dyDescent="0.25">
      <c r="A263" s="48">
        <v>262</v>
      </c>
      <c r="B263" s="49" t="s">
        <v>586</v>
      </c>
      <c r="C263" s="49" t="s">
        <v>587</v>
      </c>
      <c r="D263" s="53" t="s">
        <v>47</v>
      </c>
      <c r="E263" s="53" t="s">
        <v>48</v>
      </c>
      <c r="F263" s="45">
        <f t="shared" si="35"/>
        <v>432</v>
      </c>
      <c r="G263" s="58">
        <f t="shared" si="26"/>
        <v>7.2</v>
      </c>
      <c r="H263" s="5">
        <v>90</v>
      </c>
      <c r="I263" s="5">
        <v>72</v>
      </c>
      <c r="J263" s="5"/>
      <c r="K263" s="5">
        <v>90</v>
      </c>
      <c r="L263" s="5">
        <v>60</v>
      </c>
      <c r="M263" s="3">
        <v>30</v>
      </c>
      <c r="N263" s="3">
        <v>30</v>
      </c>
      <c r="O263" s="3">
        <v>30</v>
      </c>
      <c r="P263" s="3">
        <v>30</v>
      </c>
    </row>
    <row r="264" spans="1:16" ht="15.75" hidden="1" x14ac:dyDescent="0.25">
      <c r="A264" s="48">
        <v>263</v>
      </c>
      <c r="B264" s="49" t="s">
        <v>588</v>
      </c>
      <c r="C264" s="49" t="s">
        <v>589</v>
      </c>
      <c r="D264" s="53" t="s">
        <v>47</v>
      </c>
      <c r="E264" s="53" t="s">
        <v>76</v>
      </c>
      <c r="F264" s="45">
        <f t="shared" si="35"/>
        <v>0</v>
      </c>
      <c r="G264" s="58">
        <f t="shared" si="26"/>
        <v>0</v>
      </c>
      <c r="H264" s="5"/>
      <c r="I264" s="5"/>
      <c r="J264" s="5"/>
      <c r="K264" s="5"/>
      <c r="L264" s="5"/>
    </row>
    <row r="265" spans="1:16" ht="15.75" hidden="1" x14ac:dyDescent="0.25">
      <c r="A265" s="48">
        <v>264</v>
      </c>
      <c r="B265" s="49" t="s">
        <v>590</v>
      </c>
      <c r="C265" s="49" t="s">
        <v>591</v>
      </c>
      <c r="D265" s="53" t="s">
        <v>47</v>
      </c>
      <c r="E265" s="53" t="s">
        <v>48</v>
      </c>
      <c r="F265" s="45">
        <f t="shared" si="35"/>
        <v>0</v>
      </c>
      <c r="G265" s="58">
        <f t="shared" si="26"/>
        <v>0</v>
      </c>
      <c r="H265" s="5"/>
      <c r="I265" s="5"/>
      <c r="J265" s="5"/>
      <c r="K265" s="5"/>
      <c r="L265" s="5"/>
    </row>
    <row r="266" spans="1:16" ht="15.75" hidden="1" x14ac:dyDescent="0.25">
      <c r="A266" s="48">
        <v>265</v>
      </c>
      <c r="B266" s="49" t="s">
        <v>592</v>
      </c>
      <c r="C266" s="49" t="s">
        <v>593</v>
      </c>
      <c r="D266" s="53" t="s">
        <v>47</v>
      </c>
      <c r="E266" s="53" t="s">
        <v>105</v>
      </c>
      <c r="F266" s="45">
        <f t="shared" si="35"/>
        <v>0</v>
      </c>
      <c r="G266" s="58">
        <f t="shared" si="26"/>
        <v>0</v>
      </c>
      <c r="H266" s="5"/>
      <c r="I266" s="5"/>
      <c r="J266" s="5"/>
      <c r="K266" s="5"/>
      <c r="L266" s="5"/>
    </row>
    <row r="267" spans="1:16" ht="15.75" hidden="1" x14ac:dyDescent="0.25">
      <c r="A267" s="48">
        <v>266</v>
      </c>
      <c r="B267" s="49" t="s">
        <v>594</v>
      </c>
      <c r="C267" s="49" t="s">
        <v>595</v>
      </c>
      <c r="D267" s="53" t="s">
        <v>47</v>
      </c>
      <c r="E267" s="53" t="s">
        <v>86</v>
      </c>
      <c r="F267" s="45">
        <f t="shared" si="35"/>
        <v>60</v>
      </c>
      <c r="G267" s="58">
        <f t="shared" si="26"/>
        <v>1</v>
      </c>
      <c r="H267" s="5"/>
      <c r="I267" s="5"/>
      <c r="J267" s="5"/>
      <c r="K267" s="5"/>
      <c r="L267" s="5"/>
      <c r="N267" s="3">
        <v>30</v>
      </c>
      <c r="P267" s="3">
        <v>30</v>
      </c>
    </row>
    <row r="268" spans="1:16" ht="15.75" hidden="1" x14ac:dyDescent="0.25">
      <c r="A268" s="48">
        <v>267</v>
      </c>
      <c r="B268" s="49" t="s">
        <v>596</v>
      </c>
      <c r="C268" s="49" t="s">
        <v>597</v>
      </c>
      <c r="D268" s="53" t="s">
        <v>47</v>
      </c>
      <c r="E268" s="53" t="s">
        <v>48</v>
      </c>
      <c r="F268" s="45">
        <f t="shared" si="35"/>
        <v>65</v>
      </c>
      <c r="G268" s="58">
        <f t="shared" si="26"/>
        <v>1.0833333333333333</v>
      </c>
      <c r="H268" s="5"/>
      <c r="I268" s="5">
        <v>65</v>
      </c>
      <c r="J268" s="5"/>
      <c r="K268" s="5"/>
      <c r="L268" s="5"/>
    </row>
    <row r="269" spans="1:16" ht="15.75" hidden="1" x14ac:dyDescent="0.25">
      <c r="A269" s="48">
        <v>268</v>
      </c>
      <c r="B269" s="49" t="s">
        <v>598</v>
      </c>
      <c r="C269" s="49" t="s">
        <v>599</v>
      </c>
      <c r="D269" s="53" t="s">
        <v>47</v>
      </c>
      <c r="E269" s="53" t="s">
        <v>61</v>
      </c>
      <c r="F269" s="45">
        <f t="shared" si="35"/>
        <v>0</v>
      </c>
      <c r="G269" s="58">
        <f t="shared" si="26"/>
        <v>0</v>
      </c>
      <c r="H269" s="5"/>
      <c r="I269" s="5"/>
      <c r="J269" s="5"/>
      <c r="K269" s="5"/>
      <c r="L269" s="5"/>
    </row>
    <row r="270" spans="1:16" ht="15.75" hidden="1" x14ac:dyDescent="0.25">
      <c r="A270" s="48">
        <v>269</v>
      </c>
      <c r="B270" s="49" t="s">
        <v>600</v>
      </c>
      <c r="C270" s="49" t="s">
        <v>601</v>
      </c>
      <c r="D270" s="53" t="s">
        <v>47</v>
      </c>
      <c r="E270" s="53" t="s">
        <v>105</v>
      </c>
      <c r="F270" s="45">
        <f t="shared" si="35"/>
        <v>0</v>
      </c>
      <c r="G270" s="58">
        <f t="shared" si="26"/>
        <v>0</v>
      </c>
      <c r="H270" s="5"/>
      <c r="I270" s="5"/>
      <c r="J270" s="5"/>
      <c r="K270" s="5"/>
      <c r="L270" s="5"/>
    </row>
    <row r="271" spans="1:16" ht="15.75" hidden="1" x14ac:dyDescent="0.25">
      <c r="A271" s="48">
        <v>270</v>
      </c>
      <c r="B271" s="49" t="s">
        <v>602</v>
      </c>
      <c r="C271" s="49" t="s">
        <v>603</v>
      </c>
      <c r="D271" s="53" t="s">
        <v>64</v>
      </c>
      <c r="E271" s="53" t="s">
        <v>186</v>
      </c>
      <c r="F271" s="45">
        <f t="shared" si="34"/>
        <v>0</v>
      </c>
      <c r="G271" s="58">
        <f t="shared" si="26"/>
        <v>0</v>
      </c>
      <c r="H271" s="5"/>
      <c r="I271" s="5"/>
      <c r="J271" s="5"/>
      <c r="K271" s="5"/>
      <c r="L271" s="5"/>
    </row>
    <row r="272" spans="1:16" ht="15.75" hidden="1" x14ac:dyDescent="0.25">
      <c r="A272" s="48">
        <v>271</v>
      </c>
      <c r="B272" s="49" t="s">
        <v>604</v>
      </c>
      <c r="C272" s="49" t="s">
        <v>605</v>
      </c>
      <c r="D272" s="53" t="s">
        <v>47</v>
      </c>
      <c r="E272" s="53" t="s">
        <v>48</v>
      </c>
      <c r="F272" s="45">
        <f t="shared" ref="F272:F276" si="36">SUM($H272:$P272)</f>
        <v>0</v>
      </c>
      <c r="G272" s="58">
        <f t="shared" si="26"/>
        <v>0</v>
      </c>
      <c r="H272" s="5"/>
      <c r="I272" s="5"/>
      <c r="J272" s="5"/>
      <c r="K272" s="5"/>
      <c r="L272" s="5"/>
    </row>
    <row r="273" spans="1:16" ht="15.75" hidden="1" x14ac:dyDescent="0.25">
      <c r="A273" s="48">
        <v>272</v>
      </c>
      <c r="B273" s="49" t="s">
        <v>606</v>
      </c>
      <c r="C273" s="49" t="s">
        <v>607</v>
      </c>
      <c r="D273" s="53" t="s">
        <v>47</v>
      </c>
      <c r="E273" s="53" t="s">
        <v>48</v>
      </c>
      <c r="F273" s="45">
        <f t="shared" si="36"/>
        <v>150</v>
      </c>
      <c r="G273" s="58">
        <f t="shared" ref="G273:G276" si="37">F273/60</f>
        <v>2.5</v>
      </c>
      <c r="H273" s="5"/>
      <c r="I273" s="5"/>
      <c r="J273" s="5">
        <v>60</v>
      </c>
      <c r="K273" s="5"/>
      <c r="L273" s="5"/>
      <c r="M273" s="3">
        <v>30</v>
      </c>
      <c r="O273" s="3">
        <v>30</v>
      </c>
      <c r="P273" s="3">
        <v>30</v>
      </c>
    </row>
    <row r="274" spans="1:16" ht="15.75" hidden="1" x14ac:dyDescent="0.25">
      <c r="A274" s="48">
        <v>273</v>
      </c>
      <c r="B274" s="49" t="s">
        <v>608</v>
      </c>
      <c r="C274" s="49" t="s">
        <v>609</v>
      </c>
      <c r="D274" s="53" t="s">
        <v>47</v>
      </c>
      <c r="E274" s="53" t="s">
        <v>51</v>
      </c>
      <c r="F274" s="45">
        <f t="shared" si="36"/>
        <v>120</v>
      </c>
      <c r="G274" s="58">
        <f t="shared" si="37"/>
        <v>2</v>
      </c>
      <c r="H274" s="5"/>
      <c r="I274" s="5"/>
      <c r="J274" s="5"/>
      <c r="K274" s="5"/>
      <c r="L274" s="5"/>
      <c r="M274" s="3">
        <v>30</v>
      </c>
      <c r="N274" s="3">
        <v>30</v>
      </c>
      <c r="O274" s="3">
        <v>30</v>
      </c>
      <c r="P274" s="3">
        <v>30</v>
      </c>
    </row>
    <row r="275" spans="1:16" ht="15.75" hidden="1" x14ac:dyDescent="0.25">
      <c r="A275" s="48">
        <v>274</v>
      </c>
      <c r="B275" s="49" t="s">
        <v>610</v>
      </c>
      <c r="C275" s="49" t="s">
        <v>611</v>
      </c>
      <c r="D275" s="53" t="s">
        <v>47</v>
      </c>
      <c r="E275" s="53" t="s">
        <v>51</v>
      </c>
      <c r="F275" s="45">
        <f t="shared" si="36"/>
        <v>0</v>
      </c>
      <c r="G275" s="58">
        <f t="shared" si="37"/>
        <v>0</v>
      </c>
      <c r="H275" s="5"/>
      <c r="I275" s="5"/>
      <c r="J275" s="5"/>
      <c r="K275" s="5"/>
      <c r="L275" s="5"/>
    </row>
    <row r="276" spans="1:16" ht="15.75" hidden="1" x14ac:dyDescent="0.25">
      <c r="A276" s="48">
        <v>275</v>
      </c>
      <c r="B276" s="49" t="s">
        <v>612</v>
      </c>
      <c r="C276" s="49" t="s">
        <v>613</v>
      </c>
      <c r="D276" s="53" t="s">
        <v>47</v>
      </c>
      <c r="E276" s="53" t="s">
        <v>48</v>
      </c>
      <c r="F276" s="45">
        <f t="shared" si="36"/>
        <v>120</v>
      </c>
      <c r="G276" s="58">
        <f t="shared" si="37"/>
        <v>2</v>
      </c>
      <c r="H276" s="5">
        <v>90</v>
      </c>
      <c r="I276" s="5"/>
      <c r="J276" s="5"/>
      <c r="K276" s="5"/>
      <c r="L276" s="5"/>
      <c r="P276" s="3">
        <v>30</v>
      </c>
    </row>
    <row r="277" spans="1:16" ht="15.75" hidden="1" x14ac:dyDescent="0.25">
      <c r="A277" s="48">
        <v>276</v>
      </c>
      <c r="B277" s="49" t="s">
        <v>614</v>
      </c>
      <c r="C277" s="49" t="s">
        <v>615</v>
      </c>
      <c r="D277" s="53" t="s">
        <v>123</v>
      </c>
      <c r="E277" s="53" t="s">
        <v>123</v>
      </c>
      <c r="F277" s="45">
        <f t="shared" si="34"/>
        <v>0</v>
      </c>
      <c r="G277" s="57"/>
      <c r="H277" s="5"/>
      <c r="I277" s="5"/>
      <c r="J277" s="5"/>
      <c r="K277" s="5"/>
      <c r="L277" s="5"/>
      <c r="M277"/>
      <c r="N277"/>
      <c r="O277"/>
      <c r="P277"/>
    </row>
    <row r="278" spans="1:16" ht="15.75" hidden="1" x14ac:dyDescent="0.25">
      <c r="A278" s="48">
        <v>277</v>
      </c>
      <c r="B278" s="49" t="s">
        <v>616</v>
      </c>
      <c r="C278" s="49" t="s">
        <v>617</v>
      </c>
      <c r="D278" s="53" t="s">
        <v>47</v>
      </c>
      <c r="E278" s="53" t="s">
        <v>51</v>
      </c>
      <c r="F278" s="45">
        <f t="shared" ref="F278:F285" si="38">SUM($H278:$P278)</f>
        <v>126</v>
      </c>
      <c r="G278" s="58">
        <f t="shared" ref="G278:G294" si="39">F278/60</f>
        <v>2.1</v>
      </c>
      <c r="H278" s="5"/>
      <c r="I278" s="5">
        <v>6</v>
      </c>
      <c r="J278" s="5"/>
      <c r="K278" s="5">
        <v>90</v>
      </c>
      <c r="L278" s="5"/>
      <c r="N278" s="3">
        <v>30</v>
      </c>
    </row>
    <row r="279" spans="1:16" ht="15.75" hidden="1" x14ac:dyDescent="0.25">
      <c r="A279" s="48">
        <v>278</v>
      </c>
      <c r="B279" s="49" t="s">
        <v>618</v>
      </c>
      <c r="C279" s="49" t="s">
        <v>619</v>
      </c>
      <c r="D279" s="53" t="s">
        <v>47</v>
      </c>
      <c r="E279" s="53" t="s">
        <v>76</v>
      </c>
      <c r="F279" s="45">
        <f t="shared" si="38"/>
        <v>120</v>
      </c>
      <c r="G279" s="58">
        <f t="shared" si="39"/>
        <v>2</v>
      </c>
      <c r="H279" s="5"/>
      <c r="I279" s="5"/>
      <c r="J279" s="5"/>
      <c r="K279" s="5"/>
      <c r="L279" s="5">
        <v>60</v>
      </c>
      <c r="O279" s="3">
        <v>30</v>
      </c>
      <c r="P279" s="3">
        <v>30</v>
      </c>
    </row>
    <row r="280" spans="1:16" ht="15.75" hidden="1" x14ac:dyDescent="0.25">
      <c r="A280" s="48">
        <v>279</v>
      </c>
      <c r="B280" s="49" t="s">
        <v>620</v>
      </c>
      <c r="C280" s="49" t="s">
        <v>621</v>
      </c>
      <c r="D280" s="53" t="s">
        <v>47</v>
      </c>
      <c r="E280" s="53" t="s">
        <v>56</v>
      </c>
      <c r="F280" s="45">
        <f t="shared" si="38"/>
        <v>77</v>
      </c>
      <c r="G280" s="58">
        <f t="shared" si="39"/>
        <v>1.2833333333333334</v>
      </c>
      <c r="H280" s="5"/>
      <c r="I280" s="5">
        <v>77</v>
      </c>
      <c r="J280" s="5"/>
      <c r="K280" s="5"/>
      <c r="L280" s="5"/>
    </row>
    <row r="281" spans="1:16" ht="15.75" hidden="1" x14ac:dyDescent="0.25">
      <c r="A281" s="48">
        <v>280</v>
      </c>
      <c r="B281" s="49" t="s">
        <v>622</v>
      </c>
      <c r="C281" s="49" t="s">
        <v>623</v>
      </c>
      <c r="D281" s="53" t="s">
        <v>47</v>
      </c>
      <c r="E281" s="53" t="s">
        <v>205</v>
      </c>
      <c r="F281" s="45">
        <f t="shared" si="38"/>
        <v>150</v>
      </c>
      <c r="G281" s="58">
        <f t="shared" si="39"/>
        <v>2.5</v>
      </c>
      <c r="H281" s="5"/>
      <c r="I281" s="5"/>
      <c r="J281" s="5"/>
      <c r="K281" s="5">
        <v>90</v>
      </c>
      <c r="L281" s="5">
        <v>60</v>
      </c>
    </row>
    <row r="282" spans="1:16" ht="15.75" hidden="1" x14ac:dyDescent="0.25">
      <c r="A282" s="48">
        <v>281</v>
      </c>
      <c r="B282" s="49" t="s">
        <v>624</v>
      </c>
      <c r="C282" s="49" t="s">
        <v>625</v>
      </c>
      <c r="D282" s="53" t="s">
        <v>47</v>
      </c>
      <c r="E282" s="53" t="s">
        <v>51</v>
      </c>
      <c r="F282" s="45">
        <f t="shared" si="38"/>
        <v>30</v>
      </c>
      <c r="G282" s="58">
        <f t="shared" si="39"/>
        <v>0.5</v>
      </c>
      <c r="H282" s="5"/>
      <c r="I282" s="5"/>
      <c r="J282" s="5"/>
      <c r="K282" s="5"/>
      <c r="L282" s="5"/>
      <c r="M282" s="3">
        <v>30</v>
      </c>
    </row>
    <row r="283" spans="1:16" ht="15.75" hidden="1" x14ac:dyDescent="0.25">
      <c r="A283" s="48">
        <v>282</v>
      </c>
      <c r="B283" s="49" t="s">
        <v>626</v>
      </c>
      <c r="C283" s="49" t="s">
        <v>627</v>
      </c>
      <c r="D283" s="53" t="s">
        <v>47</v>
      </c>
      <c r="E283" s="53" t="s">
        <v>105</v>
      </c>
      <c r="F283" s="45">
        <f t="shared" si="38"/>
        <v>0</v>
      </c>
      <c r="G283" s="58">
        <f t="shared" si="39"/>
        <v>0</v>
      </c>
      <c r="H283" s="5"/>
      <c r="I283" s="5"/>
      <c r="J283" s="5"/>
      <c r="K283" s="5"/>
      <c r="L283" s="5"/>
    </row>
    <row r="284" spans="1:16" ht="15.75" hidden="1" x14ac:dyDescent="0.25">
      <c r="A284" s="48">
        <v>283</v>
      </c>
      <c r="B284" s="49" t="s">
        <v>628</v>
      </c>
      <c r="C284" s="49" t="s">
        <v>629</v>
      </c>
      <c r="D284" s="53" t="s">
        <v>47</v>
      </c>
      <c r="E284" s="53" t="s">
        <v>86</v>
      </c>
      <c r="F284" s="45">
        <f t="shared" si="38"/>
        <v>0</v>
      </c>
      <c r="G284" s="58">
        <f t="shared" si="39"/>
        <v>0</v>
      </c>
      <c r="H284" s="5"/>
      <c r="I284" s="5"/>
      <c r="J284" s="5"/>
      <c r="K284" s="5"/>
      <c r="L284" s="5"/>
    </row>
    <row r="285" spans="1:16" ht="15.75" hidden="1" x14ac:dyDescent="0.25">
      <c r="A285" s="48">
        <v>284</v>
      </c>
      <c r="B285" s="49" t="s">
        <v>630</v>
      </c>
      <c r="C285" s="49" t="s">
        <v>631</v>
      </c>
      <c r="D285" s="53" t="s">
        <v>47</v>
      </c>
      <c r="E285" s="53" t="s">
        <v>51</v>
      </c>
      <c r="F285" s="45">
        <f t="shared" si="38"/>
        <v>0</v>
      </c>
      <c r="G285" s="58">
        <f t="shared" si="39"/>
        <v>0</v>
      </c>
      <c r="H285" s="5"/>
      <c r="I285" s="5"/>
      <c r="J285" s="5"/>
      <c r="K285" s="5"/>
      <c r="L285" s="5"/>
    </row>
    <row r="286" spans="1:16" ht="15.75" hidden="1" x14ac:dyDescent="0.25">
      <c r="A286" s="48">
        <v>285</v>
      </c>
      <c r="B286" s="49" t="s">
        <v>632</v>
      </c>
      <c r="C286" s="49" t="s">
        <v>633</v>
      </c>
      <c r="D286" s="53" t="s">
        <v>64</v>
      </c>
      <c r="E286" s="53" t="s">
        <v>65</v>
      </c>
      <c r="F286" s="45">
        <f t="shared" si="34"/>
        <v>0</v>
      </c>
      <c r="G286" s="58">
        <f t="shared" si="39"/>
        <v>0</v>
      </c>
      <c r="H286" s="5"/>
      <c r="I286" s="5"/>
      <c r="J286" s="5"/>
      <c r="K286" s="5"/>
      <c r="L286" s="5"/>
    </row>
    <row r="287" spans="1:16" ht="15.75" hidden="1" x14ac:dyDescent="0.25">
      <c r="A287" s="48">
        <v>286</v>
      </c>
      <c r="B287" s="49" t="s">
        <v>634</v>
      </c>
      <c r="C287" s="49" t="s">
        <v>635</v>
      </c>
      <c r="D287" s="53" t="s">
        <v>82</v>
      </c>
      <c r="E287" s="53" t="s">
        <v>140</v>
      </c>
      <c r="F287" s="45">
        <f t="shared" si="34"/>
        <v>0</v>
      </c>
      <c r="G287" s="58">
        <f t="shared" si="39"/>
        <v>0</v>
      </c>
      <c r="H287" s="5"/>
      <c r="I287" s="5"/>
      <c r="J287" s="5"/>
      <c r="K287" s="5"/>
      <c r="L287" s="5"/>
    </row>
    <row r="288" spans="1:16" ht="15.75" hidden="1" x14ac:dyDescent="0.25">
      <c r="A288" s="48">
        <v>287</v>
      </c>
      <c r="B288" s="49" t="s">
        <v>636</v>
      </c>
      <c r="C288" s="49" t="s">
        <v>637</v>
      </c>
      <c r="D288" s="53" t="s">
        <v>47</v>
      </c>
      <c r="E288" s="53" t="s">
        <v>105</v>
      </c>
      <c r="F288" s="45">
        <f t="shared" ref="F288:F292" si="40">SUM($H288:$P288)</f>
        <v>0</v>
      </c>
      <c r="G288" s="58">
        <f t="shared" si="39"/>
        <v>0</v>
      </c>
      <c r="H288" s="5"/>
      <c r="I288" s="5"/>
      <c r="J288" s="5"/>
      <c r="K288" s="5"/>
      <c r="L288" s="5"/>
    </row>
    <row r="289" spans="1:16" ht="15.75" hidden="1" x14ac:dyDescent="0.25">
      <c r="A289" s="48">
        <v>288</v>
      </c>
      <c r="B289" s="49" t="s">
        <v>638</v>
      </c>
      <c r="C289" s="49" t="s">
        <v>639</v>
      </c>
      <c r="D289" s="53" t="s">
        <v>47</v>
      </c>
      <c r="E289" s="53" t="s">
        <v>56</v>
      </c>
      <c r="F289" s="45">
        <f t="shared" si="40"/>
        <v>30</v>
      </c>
      <c r="G289" s="58">
        <f t="shared" si="39"/>
        <v>0.5</v>
      </c>
      <c r="H289" s="5"/>
      <c r="I289" s="5"/>
      <c r="J289" s="5"/>
      <c r="K289" s="5"/>
      <c r="L289" s="5"/>
      <c r="P289" s="3">
        <v>30</v>
      </c>
    </row>
    <row r="290" spans="1:16" ht="15.75" hidden="1" x14ac:dyDescent="0.25">
      <c r="A290" s="48">
        <v>289</v>
      </c>
      <c r="B290" s="49" t="s">
        <v>640</v>
      </c>
      <c r="C290" s="49" t="s">
        <v>641</v>
      </c>
      <c r="D290" s="53" t="s">
        <v>47</v>
      </c>
      <c r="E290" s="53" t="s">
        <v>56</v>
      </c>
      <c r="F290" s="45">
        <f t="shared" si="40"/>
        <v>0</v>
      </c>
      <c r="G290" s="58">
        <f t="shared" si="39"/>
        <v>0</v>
      </c>
      <c r="H290" s="5"/>
      <c r="I290" s="5"/>
      <c r="J290" s="5"/>
      <c r="K290" s="5"/>
      <c r="L290" s="5"/>
    </row>
    <row r="291" spans="1:16" ht="15.75" hidden="1" x14ac:dyDescent="0.25">
      <c r="A291" s="48">
        <v>290</v>
      </c>
      <c r="B291" s="49" t="s">
        <v>642</v>
      </c>
      <c r="C291" s="49" t="s">
        <v>643</v>
      </c>
      <c r="D291" s="53" t="s">
        <v>47</v>
      </c>
      <c r="E291" s="53" t="s">
        <v>105</v>
      </c>
      <c r="F291" s="45">
        <f t="shared" si="40"/>
        <v>0</v>
      </c>
      <c r="G291" s="58">
        <f t="shared" si="39"/>
        <v>0</v>
      </c>
      <c r="H291" s="5"/>
      <c r="I291" s="5"/>
      <c r="J291" s="5"/>
      <c r="K291" s="5"/>
      <c r="L291" s="5"/>
    </row>
    <row r="292" spans="1:16" ht="15.75" hidden="1" x14ac:dyDescent="0.25">
      <c r="A292" s="48">
        <v>291</v>
      </c>
      <c r="B292" s="49" t="s">
        <v>644</v>
      </c>
      <c r="C292" s="49" t="s">
        <v>645</v>
      </c>
      <c r="D292" s="53" t="s">
        <v>47</v>
      </c>
      <c r="E292" s="53" t="s">
        <v>48</v>
      </c>
      <c r="F292" s="45">
        <f t="shared" si="40"/>
        <v>0</v>
      </c>
      <c r="G292" s="58">
        <f t="shared" si="39"/>
        <v>0</v>
      </c>
      <c r="H292" s="5"/>
      <c r="I292" s="5"/>
      <c r="J292" s="5"/>
      <c r="K292" s="5"/>
      <c r="L292" s="5"/>
    </row>
    <row r="293" spans="1:16" ht="15.75" hidden="1" x14ac:dyDescent="0.25">
      <c r="A293" s="48">
        <v>292</v>
      </c>
      <c r="B293" s="49" t="s">
        <v>646</v>
      </c>
      <c r="C293" s="49" t="s">
        <v>647</v>
      </c>
      <c r="D293" s="53" t="s">
        <v>82</v>
      </c>
      <c r="E293" s="53" t="s">
        <v>140</v>
      </c>
      <c r="F293" s="45">
        <f t="shared" si="34"/>
        <v>0</v>
      </c>
      <c r="G293" s="58">
        <f t="shared" si="39"/>
        <v>0</v>
      </c>
      <c r="H293" s="5"/>
      <c r="I293" s="5"/>
      <c r="J293" s="5"/>
      <c r="K293" s="5"/>
      <c r="L293" s="5"/>
    </row>
    <row r="294" spans="1:16" ht="15.75" hidden="1" x14ac:dyDescent="0.25">
      <c r="A294" s="48">
        <v>293</v>
      </c>
      <c r="B294" s="49" t="s">
        <v>648</v>
      </c>
      <c r="C294" s="49" t="s">
        <v>649</v>
      </c>
      <c r="D294" s="53" t="s">
        <v>64</v>
      </c>
      <c r="E294" s="53" t="s">
        <v>65</v>
      </c>
      <c r="F294" s="45">
        <f t="shared" si="34"/>
        <v>0</v>
      </c>
      <c r="G294" s="58">
        <f t="shared" si="39"/>
        <v>0</v>
      </c>
      <c r="H294" s="5"/>
      <c r="I294" s="5"/>
      <c r="J294" s="5"/>
      <c r="K294" s="5"/>
      <c r="L294" s="5"/>
    </row>
    <row r="295" spans="1:16" ht="15.75" hidden="1" x14ac:dyDescent="0.25">
      <c r="A295" s="48">
        <v>294</v>
      </c>
      <c r="B295" s="49" t="s">
        <v>650</v>
      </c>
      <c r="C295" s="49" t="s">
        <v>651</v>
      </c>
      <c r="D295" s="53" t="s">
        <v>123</v>
      </c>
      <c r="E295" s="53" t="s">
        <v>123</v>
      </c>
      <c r="F295" s="45">
        <f t="shared" si="34"/>
        <v>0</v>
      </c>
      <c r="G295" s="57"/>
      <c r="H295" s="5"/>
      <c r="I295" s="5"/>
      <c r="J295" s="5"/>
      <c r="K295" s="5"/>
      <c r="L295" s="5"/>
      <c r="M295"/>
      <c r="N295"/>
      <c r="O295"/>
      <c r="P295"/>
    </row>
    <row r="296" spans="1:16" ht="15.75" hidden="1" x14ac:dyDescent="0.25">
      <c r="A296" s="48">
        <v>295</v>
      </c>
      <c r="B296" s="49" t="s">
        <v>652</v>
      </c>
      <c r="C296" s="49" t="s">
        <v>653</v>
      </c>
      <c r="D296" s="53" t="s">
        <v>47</v>
      </c>
      <c r="E296" s="53" t="s">
        <v>56</v>
      </c>
      <c r="F296" s="45">
        <f>SUM($H296:$P296)</f>
        <v>0</v>
      </c>
      <c r="G296" s="58">
        <f t="shared" ref="G296:G359" si="41">F296/60</f>
        <v>0</v>
      </c>
      <c r="H296" s="5"/>
      <c r="I296" s="5"/>
      <c r="J296" s="5"/>
      <c r="K296" s="5"/>
      <c r="L296" s="5"/>
    </row>
    <row r="297" spans="1:16" ht="15.75" hidden="1" x14ac:dyDescent="0.25">
      <c r="A297" s="48">
        <v>296</v>
      </c>
      <c r="B297" s="49" t="s">
        <v>654</v>
      </c>
      <c r="C297" s="49" t="s">
        <v>655</v>
      </c>
      <c r="D297" s="53" t="s">
        <v>64</v>
      </c>
      <c r="E297" s="53" t="s">
        <v>186</v>
      </c>
      <c r="F297" s="45">
        <f t="shared" si="34"/>
        <v>0</v>
      </c>
      <c r="G297" s="58">
        <f t="shared" si="41"/>
        <v>0</v>
      </c>
      <c r="H297" s="5"/>
      <c r="I297" s="5"/>
      <c r="J297" s="5"/>
      <c r="K297" s="5"/>
      <c r="L297" s="5"/>
    </row>
    <row r="298" spans="1:16" ht="15.75" hidden="1" x14ac:dyDescent="0.25">
      <c r="A298" s="48">
        <v>297</v>
      </c>
      <c r="B298" s="49" t="s">
        <v>656</v>
      </c>
      <c r="C298" s="49" t="s">
        <v>657</v>
      </c>
      <c r="D298" s="53" t="s">
        <v>64</v>
      </c>
      <c r="E298" s="53" t="s">
        <v>65</v>
      </c>
      <c r="F298" s="45">
        <f t="shared" si="34"/>
        <v>0</v>
      </c>
      <c r="G298" s="58">
        <f t="shared" si="41"/>
        <v>0</v>
      </c>
      <c r="H298" s="5"/>
      <c r="I298" s="5"/>
      <c r="J298" s="5"/>
      <c r="K298" s="5"/>
      <c r="L298" s="5"/>
    </row>
    <row r="299" spans="1:16" ht="15.75" hidden="1" x14ac:dyDescent="0.25">
      <c r="A299" s="48">
        <v>298</v>
      </c>
      <c r="B299" s="49" t="s">
        <v>658</v>
      </c>
      <c r="C299" s="49" t="s">
        <v>659</v>
      </c>
      <c r="D299" s="53" t="s">
        <v>47</v>
      </c>
      <c r="E299" s="53" t="s">
        <v>48</v>
      </c>
      <c r="F299" s="45">
        <f>SUM($H299:$P299)</f>
        <v>90</v>
      </c>
      <c r="G299" s="58">
        <f t="shared" si="41"/>
        <v>1.5</v>
      </c>
      <c r="H299" s="5"/>
      <c r="I299" s="5"/>
      <c r="J299" s="5"/>
      <c r="K299" s="5"/>
      <c r="L299" s="5"/>
      <c r="N299" s="3">
        <v>30</v>
      </c>
      <c r="O299" s="3">
        <v>30</v>
      </c>
      <c r="P299" s="3">
        <v>30</v>
      </c>
    </row>
    <row r="300" spans="1:16" ht="15.75" hidden="1" x14ac:dyDescent="0.25">
      <c r="A300" s="48">
        <v>299</v>
      </c>
      <c r="B300" s="49" t="s">
        <v>660</v>
      </c>
      <c r="C300" s="49" t="s">
        <v>661</v>
      </c>
      <c r="D300" s="53" t="s">
        <v>82</v>
      </c>
      <c r="E300" s="53" t="s">
        <v>140</v>
      </c>
      <c r="F300" s="45">
        <f t="shared" si="34"/>
        <v>0</v>
      </c>
      <c r="G300" s="58">
        <f t="shared" si="41"/>
        <v>0</v>
      </c>
      <c r="H300" s="5"/>
      <c r="I300" s="5"/>
      <c r="J300" s="5"/>
      <c r="K300" s="5"/>
      <c r="L300" s="5"/>
    </row>
    <row r="301" spans="1:16" ht="15.75" hidden="1" x14ac:dyDescent="0.25">
      <c r="A301" s="48">
        <v>300</v>
      </c>
      <c r="B301" s="49" t="s">
        <v>662</v>
      </c>
      <c r="C301" s="49" t="s">
        <v>663</v>
      </c>
      <c r="D301" s="53" t="s">
        <v>47</v>
      </c>
      <c r="E301" s="53" t="s">
        <v>86</v>
      </c>
      <c r="F301" s="45">
        <f t="shared" ref="F301:F323" si="42">SUM($H301:$P301)</f>
        <v>170</v>
      </c>
      <c r="G301" s="58">
        <f t="shared" si="41"/>
        <v>2.8333333333333335</v>
      </c>
      <c r="H301" s="5"/>
      <c r="I301" s="5">
        <v>50</v>
      </c>
      <c r="J301" s="5"/>
      <c r="K301" s="5"/>
      <c r="L301" s="5"/>
      <c r="M301" s="3">
        <v>30</v>
      </c>
      <c r="N301" s="3">
        <v>30</v>
      </c>
      <c r="O301" s="3">
        <v>30</v>
      </c>
      <c r="P301" s="3">
        <v>30</v>
      </c>
    </row>
    <row r="302" spans="1:16" ht="15.75" hidden="1" x14ac:dyDescent="0.25">
      <c r="A302" s="48">
        <v>301</v>
      </c>
      <c r="B302" s="49" t="s">
        <v>664</v>
      </c>
      <c r="C302" s="49" t="s">
        <v>665</v>
      </c>
      <c r="D302" s="53" t="s">
        <v>47</v>
      </c>
      <c r="E302" s="53" t="s">
        <v>86</v>
      </c>
      <c r="F302" s="45">
        <f t="shared" si="42"/>
        <v>30</v>
      </c>
      <c r="G302" s="58">
        <f t="shared" si="41"/>
        <v>0.5</v>
      </c>
      <c r="H302" s="5"/>
      <c r="I302" s="5"/>
      <c r="J302" s="5"/>
      <c r="K302" s="5"/>
      <c r="L302" s="5"/>
      <c r="P302" s="3">
        <v>30</v>
      </c>
    </row>
    <row r="303" spans="1:16" ht="15.75" hidden="1" x14ac:dyDescent="0.25">
      <c r="A303" s="48">
        <v>302</v>
      </c>
      <c r="B303" s="49" t="s">
        <v>666</v>
      </c>
      <c r="C303" s="49" t="s">
        <v>667</v>
      </c>
      <c r="D303" s="53" t="s">
        <v>47</v>
      </c>
      <c r="E303" s="53" t="s">
        <v>48</v>
      </c>
      <c r="F303" s="45">
        <f t="shared" si="42"/>
        <v>210</v>
      </c>
      <c r="G303" s="58">
        <f t="shared" si="41"/>
        <v>3.5</v>
      </c>
      <c r="H303" s="5"/>
      <c r="I303" s="5"/>
      <c r="J303" s="5"/>
      <c r="K303" s="5">
        <v>90</v>
      </c>
      <c r="L303" s="5"/>
      <c r="M303" s="3">
        <v>30</v>
      </c>
      <c r="N303" s="3">
        <v>30</v>
      </c>
      <c r="O303" s="5">
        <v>30</v>
      </c>
      <c r="P303" s="3">
        <v>30</v>
      </c>
    </row>
    <row r="304" spans="1:16" ht="15.75" hidden="1" x14ac:dyDescent="0.25">
      <c r="A304" s="48">
        <v>303</v>
      </c>
      <c r="B304" s="49" t="s">
        <v>668</v>
      </c>
      <c r="C304" s="49" t="s">
        <v>669</v>
      </c>
      <c r="D304" s="53" t="s">
        <v>47</v>
      </c>
      <c r="E304" s="53" t="s">
        <v>48</v>
      </c>
      <c r="F304" s="45">
        <f t="shared" si="42"/>
        <v>360</v>
      </c>
      <c r="G304" s="58">
        <f t="shared" si="41"/>
        <v>6</v>
      </c>
      <c r="H304" s="5">
        <v>90</v>
      </c>
      <c r="I304" s="5"/>
      <c r="J304" s="5">
        <v>60</v>
      </c>
      <c r="K304" s="5">
        <v>90</v>
      </c>
      <c r="L304" s="5"/>
      <c r="M304" s="3">
        <v>30</v>
      </c>
      <c r="N304" s="3">
        <v>30</v>
      </c>
      <c r="O304" s="3">
        <v>30</v>
      </c>
      <c r="P304" s="3">
        <v>30</v>
      </c>
    </row>
    <row r="305" spans="1:16" ht="15.75" hidden="1" x14ac:dyDescent="0.25">
      <c r="A305" s="48">
        <v>304</v>
      </c>
      <c r="B305" s="49" t="s">
        <v>670</v>
      </c>
      <c r="C305" s="49" t="s">
        <v>671</v>
      </c>
      <c r="D305" s="53" t="s">
        <v>47</v>
      </c>
      <c r="E305" s="53" t="s">
        <v>105</v>
      </c>
      <c r="F305" s="45">
        <f t="shared" si="42"/>
        <v>0</v>
      </c>
      <c r="G305" s="58">
        <f t="shared" si="41"/>
        <v>0</v>
      </c>
      <c r="H305" s="5"/>
      <c r="I305" s="5"/>
      <c r="J305" s="5"/>
      <c r="K305" s="5"/>
      <c r="L305" s="5"/>
    </row>
    <row r="306" spans="1:16" ht="15.75" hidden="1" x14ac:dyDescent="0.25">
      <c r="A306" s="48">
        <v>305</v>
      </c>
      <c r="B306" s="49" t="s">
        <v>672</v>
      </c>
      <c r="C306" s="49" t="s">
        <v>673</v>
      </c>
      <c r="D306" s="53" t="s">
        <v>47</v>
      </c>
      <c r="E306" s="53" t="s">
        <v>48</v>
      </c>
      <c r="F306" s="45">
        <f t="shared" si="42"/>
        <v>150</v>
      </c>
      <c r="G306" s="58">
        <f t="shared" si="41"/>
        <v>2.5</v>
      </c>
      <c r="H306" s="5"/>
      <c r="I306" s="5"/>
      <c r="J306" s="5"/>
      <c r="K306" s="5"/>
      <c r="L306" s="5">
        <v>60</v>
      </c>
      <c r="M306" s="3">
        <v>30</v>
      </c>
      <c r="N306" s="3">
        <v>30</v>
      </c>
      <c r="O306" s="3">
        <v>30</v>
      </c>
    </row>
    <row r="307" spans="1:16" ht="15.75" hidden="1" x14ac:dyDescent="0.25">
      <c r="A307" s="48">
        <v>306</v>
      </c>
      <c r="B307" s="49" t="s">
        <v>674</v>
      </c>
      <c r="C307" s="49" t="s">
        <v>675</v>
      </c>
      <c r="D307" s="53" t="s">
        <v>47</v>
      </c>
      <c r="E307" s="53" t="s">
        <v>76</v>
      </c>
      <c r="F307" s="45">
        <f t="shared" si="42"/>
        <v>180</v>
      </c>
      <c r="G307" s="58">
        <f t="shared" si="41"/>
        <v>3</v>
      </c>
      <c r="H307" s="5">
        <v>90</v>
      </c>
      <c r="I307" s="5"/>
      <c r="J307" s="5"/>
      <c r="K307" s="5"/>
      <c r="L307" s="5"/>
      <c r="N307" s="3">
        <v>30</v>
      </c>
      <c r="O307" s="3">
        <v>30</v>
      </c>
      <c r="P307" s="3">
        <v>30</v>
      </c>
    </row>
    <row r="308" spans="1:16" ht="15.75" hidden="1" x14ac:dyDescent="0.25">
      <c r="A308" s="48">
        <v>307</v>
      </c>
      <c r="B308" s="49" t="s">
        <v>676</v>
      </c>
      <c r="C308" s="49" t="s">
        <v>677</v>
      </c>
      <c r="D308" s="53" t="s">
        <v>47</v>
      </c>
      <c r="E308" s="53" t="s">
        <v>86</v>
      </c>
      <c r="F308" s="45">
        <f t="shared" si="42"/>
        <v>0</v>
      </c>
      <c r="G308" s="58">
        <f t="shared" si="41"/>
        <v>0</v>
      </c>
      <c r="H308" s="5"/>
      <c r="I308" s="5"/>
      <c r="J308" s="5"/>
      <c r="K308" s="5"/>
      <c r="L308" s="5"/>
    </row>
    <row r="309" spans="1:16" ht="15.75" hidden="1" x14ac:dyDescent="0.25">
      <c r="A309" s="48">
        <v>308</v>
      </c>
      <c r="B309" s="49" t="s">
        <v>678</v>
      </c>
      <c r="C309" s="49" t="s">
        <v>679</v>
      </c>
      <c r="D309" s="53" t="s">
        <v>47</v>
      </c>
      <c r="E309" s="53" t="s">
        <v>48</v>
      </c>
      <c r="F309" s="45">
        <f t="shared" si="42"/>
        <v>60</v>
      </c>
      <c r="G309" s="58">
        <f t="shared" si="41"/>
        <v>1</v>
      </c>
      <c r="H309" s="5"/>
      <c r="I309" s="5"/>
      <c r="J309" s="5"/>
      <c r="K309" s="5"/>
      <c r="L309" s="5"/>
      <c r="O309" s="3">
        <v>30</v>
      </c>
      <c r="P309" s="3">
        <v>30</v>
      </c>
    </row>
    <row r="310" spans="1:16" ht="15.75" hidden="1" x14ac:dyDescent="0.25">
      <c r="A310" s="48">
        <v>309</v>
      </c>
      <c r="B310" s="49" t="s">
        <v>680</v>
      </c>
      <c r="C310" s="49" t="s">
        <v>681</v>
      </c>
      <c r="D310" s="53" t="s">
        <v>47</v>
      </c>
      <c r="E310" s="53" t="s">
        <v>76</v>
      </c>
      <c r="F310" s="45">
        <f t="shared" si="42"/>
        <v>360</v>
      </c>
      <c r="G310" s="58">
        <f t="shared" si="41"/>
        <v>6</v>
      </c>
      <c r="H310" s="5">
        <v>90</v>
      </c>
      <c r="I310" s="5"/>
      <c r="J310" s="5"/>
      <c r="K310" s="5">
        <v>90</v>
      </c>
      <c r="L310" s="5">
        <v>60</v>
      </c>
      <c r="M310" s="3">
        <v>30</v>
      </c>
      <c r="N310" s="3">
        <v>30</v>
      </c>
      <c r="O310" s="3">
        <v>30</v>
      </c>
      <c r="P310" s="3">
        <v>30</v>
      </c>
    </row>
    <row r="311" spans="1:16" ht="15.75" hidden="1" x14ac:dyDescent="0.25">
      <c r="A311" s="48">
        <v>310</v>
      </c>
      <c r="B311" s="49" t="s">
        <v>682</v>
      </c>
      <c r="C311" s="49" t="s">
        <v>683</v>
      </c>
      <c r="D311" s="53" t="s">
        <v>47</v>
      </c>
      <c r="E311" s="53" t="s">
        <v>51</v>
      </c>
      <c r="F311" s="45">
        <f t="shared" si="42"/>
        <v>60</v>
      </c>
      <c r="G311" s="58">
        <f t="shared" si="41"/>
        <v>1</v>
      </c>
      <c r="H311" s="5"/>
      <c r="I311" s="5"/>
      <c r="J311" s="5"/>
      <c r="K311" s="5"/>
      <c r="L311" s="5"/>
      <c r="O311" s="3">
        <v>30</v>
      </c>
      <c r="P311" s="3">
        <v>30</v>
      </c>
    </row>
    <row r="312" spans="1:16" ht="15.75" hidden="1" x14ac:dyDescent="0.25">
      <c r="A312" s="48">
        <v>311</v>
      </c>
      <c r="B312" s="49" t="s">
        <v>684</v>
      </c>
      <c r="C312" s="49" t="s">
        <v>685</v>
      </c>
      <c r="D312" s="53" t="s">
        <v>47</v>
      </c>
      <c r="E312" s="53" t="s">
        <v>51</v>
      </c>
      <c r="F312" s="45">
        <f t="shared" si="42"/>
        <v>411</v>
      </c>
      <c r="G312" s="58">
        <f t="shared" si="41"/>
        <v>6.85</v>
      </c>
      <c r="H312" s="5">
        <v>90</v>
      </c>
      <c r="I312" s="5">
        <v>81</v>
      </c>
      <c r="J312" s="5">
        <v>60</v>
      </c>
      <c r="K312" s="5">
        <v>90</v>
      </c>
      <c r="L312" s="5"/>
      <c r="M312" s="3">
        <v>30</v>
      </c>
      <c r="N312" s="3">
        <v>30</v>
      </c>
      <c r="O312" s="3">
        <v>30</v>
      </c>
    </row>
    <row r="313" spans="1:16" ht="15.75" hidden="1" x14ac:dyDescent="0.25">
      <c r="A313" s="48">
        <v>312</v>
      </c>
      <c r="B313" s="49" t="s">
        <v>686</v>
      </c>
      <c r="C313" s="49" t="s">
        <v>687</v>
      </c>
      <c r="D313" s="53" t="s">
        <v>47</v>
      </c>
      <c r="E313" s="53" t="s">
        <v>76</v>
      </c>
      <c r="F313" s="45">
        <f t="shared" si="42"/>
        <v>0</v>
      </c>
      <c r="G313" s="58">
        <f t="shared" si="41"/>
        <v>0</v>
      </c>
      <c r="H313" s="5"/>
      <c r="I313" s="5"/>
      <c r="J313" s="5"/>
      <c r="K313" s="5"/>
      <c r="L313" s="5"/>
    </row>
    <row r="314" spans="1:16" ht="15.75" hidden="1" x14ac:dyDescent="0.25">
      <c r="A314" s="48">
        <v>313</v>
      </c>
      <c r="B314" s="49" t="s">
        <v>688</v>
      </c>
      <c r="C314" s="49" t="s">
        <v>689</v>
      </c>
      <c r="D314" s="53" t="s">
        <v>47</v>
      </c>
      <c r="E314" s="53" t="s">
        <v>105</v>
      </c>
      <c r="F314" s="45">
        <f t="shared" si="42"/>
        <v>0</v>
      </c>
      <c r="G314" s="58">
        <f t="shared" si="41"/>
        <v>0</v>
      </c>
      <c r="H314" s="5"/>
      <c r="I314" s="5"/>
      <c r="J314" s="5"/>
      <c r="K314" s="5"/>
      <c r="L314" s="5"/>
    </row>
    <row r="315" spans="1:16" ht="15.75" hidden="1" x14ac:dyDescent="0.25">
      <c r="A315" s="48">
        <v>314</v>
      </c>
      <c r="B315" s="49" t="s">
        <v>690</v>
      </c>
      <c r="C315" s="49" t="s">
        <v>691</v>
      </c>
      <c r="D315" s="53" t="s">
        <v>47</v>
      </c>
      <c r="E315" s="53" t="s">
        <v>51</v>
      </c>
      <c r="F315" s="45">
        <f t="shared" si="42"/>
        <v>0</v>
      </c>
      <c r="G315" s="58">
        <f t="shared" si="41"/>
        <v>0</v>
      </c>
      <c r="H315" s="5"/>
      <c r="I315" s="5"/>
      <c r="J315" s="5"/>
      <c r="K315" s="5"/>
      <c r="L315" s="5"/>
    </row>
    <row r="316" spans="1:16" ht="15.75" hidden="1" x14ac:dyDescent="0.25">
      <c r="A316" s="48">
        <v>315</v>
      </c>
      <c r="B316" s="49" t="s">
        <v>692</v>
      </c>
      <c r="C316" s="49" t="s">
        <v>693</v>
      </c>
      <c r="D316" s="53" t="s">
        <v>47</v>
      </c>
      <c r="E316" s="53" t="s">
        <v>86</v>
      </c>
      <c r="F316" s="45">
        <f t="shared" si="42"/>
        <v>180</v>
      </c>
      <c r="G316" s="58">
        <f t="shared" si="41"/>
        <v>3</v>
      </c>
      <c r="H316" s="5"/>
      <c r="I316" s="5"/>
      <c r="J316" s="5"/>
      <c r="K316" s="5">
        <v>90</v>
      </c>
      <c r="L316" s="5"/>
      <c r="M316" s="3">
        <v>30</v>
      </c>
      <c r="O316" s="3">
        <v>30</v>
      </c>
      <c r="P316" s="3">
        <v>30</v>
      </c>
    </row>
    <row r="317" spans="1:16" ht="15.75" hidden="1" x14ac:dyDescent="0.25">
      <c r="A317" s="48">
        <v>316</v>
      </c>
      <c r="B317" s="49" t="s">
        <v>694</v>
      </c>
      <c r="C317" s="49" t="s">
        <v>695</v>
      </c>
      <c r="D317" s="53" t="s">
        <v>47</v>
      </c>
      <c r="E317" s="53" t="s">
        <v>76</v>
      </c>
      <c r="F317" s="45">
        <f t="shared" si="42"/>
        <v>134</v>
      </c>
      <c r="G317" s="58">
        <f t="shared" si="41"/>
        <v>2.2333333333333334</v>
      </c>
      <c r="H317" s="5"/>
      <c r="I317" s="5">
        <v>74</v>
      </c>
      <c r="J317" s="5"/>
      <c r="K317" s="5"/>
      <c r="L317" s="5"/>
      <c r="M317" s="3">
        <v>30</v>
      </c>
      <c r="N317" s="3">
        <v>30</v>
      </c>
    </row>
    <row r="318" spans="1:16" ht="15.75" hidden="1" x14ac:dyDescent="0.25">
      <c r="A318" s="48">
        <v>317</v>
      </c>
      <c r="B318" s="49" t="s">
        <v>696</v>
      </c>
      <c r="C318" s="49" t="s">
        <v>697</v>
      </c>
      <c r="D318" s="53" t="s">
        <v>47</v>
      </c>
      <c r="E318" s="53" t="s">
        <v>51</v>
      </c>
      <c r="F318" s="45">
        <f t="shared" si="42"/>
        <v>60</v>
      </c>
      <c r="G318" s="58">
        <f t="shared" si="41"/>
        <v>1</v>
      </c>
      <c r="H318" s="5"/>
      <c r="I318" s="5"/>
      <c r="J318" s="5"/>
      <c r="K318" s="5"/>
      <c r="L318" s="5"/>
      <c r="O318" s="3">
        <v>30</v>
      </c>
      <c r="P318" s="3">
        <v>30</v>
      </c>
    </row>
    <row r="319" spans="1:16" ht="15.75" hidden="1" x14ac:dyDescent="0.25">
      <c r="A319" s="48">
        <v>318</v>
      </c>
      <c r="B319" s="49" t="s">
        <v>698</v>
      </c>
      <c r="C319" s="49" t="s">
        <v>699</v>
      </c>
      <c r="D319" s="53" t="s">
        <v>47</v>
      </c>
      <c r="E319" s="53" t="s">
        <v>116</v>
      </c>
      <c r="F319" s="45">
        <f t="shared" si="42"/>
        <v>0</v>
      </c>
      <c r="G319" s="58">
        <f t="shared" si="41"/>
        <v>0</v>
      </c>
      <c r="H319" s="5"/>
      <c r="I319" s="5"/>
      <c r="J319" s="5"/>
      <c r="K319" s="5"/>
      <c r="L319" s="5"/>
    </row>
    <row r="320" spans="1:16" ht="15.75" hidden="1" x14ac:dyDescent="0.25">
      <c r="A320" s="48">
        <v>319</v>
      </c>
      <c r="B320" s="49" t="s">
        <v>700</v>
      </c>
      <c r="C320" s="49" t="s">
        <v>701</v>
      </c>
      <c r="D320" s="53" t="s">
        <v>47</v>
      </c>
      <c r="E320" s="53" t="s">
        <v>48</v>
      </c>
      <c r="F320" s="45">
        <f t="shared" si="42"/>
        <v>120</v>
      </c>
      <c r="G320" s="58">
        <f t="shared" si="41"/>
        <v>2</v>
      </c>
      <c r="H320" s="5"/>
      <c r="I320" s="5"/>
      <c r="J320" s="5"/>
      <c r="K320" s="5"/>
      <c r="L320" s="5"/>
      <c r="M320" s="3">
        <v>30</v>
      </c>
      <c r="N320" s="3">
        <v>30</v>
      </c>
      <c r="O320" s="3">
        <v>30</v>
      </c>
      <c r="P320" s="3">
        <v>30</v>
      </c>
    </row>
    <row r="321" spans="1:16" ht="15.75" hidden="1" x14ac:dyDescent="0.25">
      <c r="A321" s="48">
        <v>320</v>
      </c>
      <c r="B321" s="49" t="s">
        <v>702</v>
      </c>
      <c r="C321" s="49" t="s">
        <v>703</v>
      </c>
      <c r="D321" s="53" t="s">
        <v>47</v>
      </c>
      <c r="E321" s="53" t="s">
        <v>48</v>
      </c>
      <c r="F321" s="45">
        <f t="shared" si="42"/>
        <v>468</v>
      </c>
      <c r="G321" s="58">
        <f t="shared" si="41"/>
        <v>7.8</v>
      </c>
      <c r="H321" s="5">
        <v>90</v>
      </c>
      <c r="I321" s="5">
        <v>78</v>
      </c>
      <c r="J321" s="5">
        <v>60</v>
      </c>
      <c r="K321" s="5">
        <v>90</v>
      </c>
      <c r="L321" s="5">
        <v>60</v>
      </c>
      <c r="M321" s="3">
        <v>30</v>
      </c>
      <c r="N321" s="3">
        <v>30</v>
      </c>
      <c r="O321" s="3">
        <v>30</v>
      </c>
    </row>
    <row r="322" spans="1:16" ht="15.75" hidden="1" x14ac:dyDescent="0.25">
      <c r="A322" s="48">
        <v>321</v>
      </c>
      <c r="B322" s="49" t="s">
        <v>704</v>
      </c>
      <c r="C322" s="49" t="s">
        <v>705</v>
      </c>
      <c r="D322" s="53" t="s">
        <v>47</v>
      </c>
      <c r="E322" s="53" t="s">
        <v>86</v>
      </c>
      <c r="F322" s="45">
        <f t="shared" si="42"/>
        <v>0</v>
      </c>
      <c r="G322" s="58">
        <f t="shared" si="41"/>
        <v>0</v>
      </c>
      <c r="H322" s="5"/>
      <c r="I322" s="5"/>
      <c r="J322" s="5"/>
      <c r="K322" s="5"/>
      <c r="L322" s="5"/>
    </row>
    <row r="323" spans="1:16" ht="15.75" hidden="1" x14ac:dyDescent="0.25">
      <c r="A323" s="48">
        <v>322</v>
      </c>
      <c r="B323" s="49" t="s">
        <v>706</v>
      </c>
      <c r="C323" s="49" t="s">
        <v>707</v>
      </c>
      <c r="D323" s="53" t="s">
        <v>47</v>
      </c>
      <c r="E323" s="53" t="s">
        <v>48</v>
      </c>
      <c r="F323" s="45">
        <f t="shared" si="42"/>
        <v>0</v>
      </c>
      <c r="G323" s="58">
        <f t="shared" si="41"/>
        <v>0</v>
      </c>
      <c r="H323" s="5"/>
      <c r="I323" s="5"/>
      <c r="J323" s="5"/>
      <c r="K323" s="5"/>
      <c r="L323" s="5"/>
    </row>
    <row r="324" spans="1:16" ht="15.75" hidden="1" x14ac:dyDescent="0.25">
      <c r="A324" s="48">
        <v>323</v>
      </c>
      <c r="B324" s="49" t="s">
        <v>708</v>
      </c>
      <c r="C324" s="49" t="s">
        <v>709</v>
      </c>
      <c r="D324" s="53" t="s">
        <v>64</v>
      </c>
      <c r="E324" s="53" t="s">
        <v>65</v>
      </c>
      <c r="F324" s="45">
        <f t="shared" ref="F324:F365" si="43">SUM($H324:$K324)</f>
        <v>0</v>
      </c>
      <c r="G324" s="58">
        <f t="shared" si="41"/>
        <v>0</v>
      </c>
      <c r="H324" s="5"/>
      <c r="I324" s="5"/>
      <c r="J324" s="5"/>
      <c r="K324" s="5"/>
      <c r="L324" s="5"/>
    </row>
    <row r="325" spans="1:16" ht="15.75" hidden="1" x14ac:dyDescent="0.25">
      <c r="A325" s="48">
        <v>324</v>
      </c>
      <c r="B325" s="49" t="s">
        <v>710</v>
      </c>
      <c r="C325" s="49" t="s">
        <v>711</v>
      </c>
      <c r="D325" s="53" t="s">
        <v>47</v>
      </c>
      <c r="E325" s="53" t="s">
        <v>48</v>
      </c>
      <c r="F325" s="45">
        <f t="shared" ref="F325:F355" si="44">SUM($H325:$P325)</f>
        <v>180</v>
      </c>
      <c r="G325" s="58">
        <f t="shared" si="41"/>
        <v>3</v>
      </c>
      <c r="H325" s="5"/>
      <c r="I325" s="5"/>
      <c r="J325" s="5"/>
      <c r="K325" s="5">
        <v>90</v>
      </c>
      <c r="L325" s="5"/>
      <c r="M325" s="3">
        <v>30</v>
      </c>
      <c r="O325" s="3">
        <v>30</v>
      </c>
      <c r="P325" s="3">
        <v>30</v>
      </c>
    </row>
    <row r="326" spans="1:16" ht="15.75" hidden="1" x14ac:dyDescent="0.25">
      <c r="A326" s="48">
        <v>325</v>
      </c>
      <c r="B326" s="49" t="s">
        <v>712</v>
      </c>
      <c r="C326" s="49" t="s">
        <v>713</v>
      </c>
      <c r="D326" s="53" t="s">
        <v>47</v>
      </c>
      <c r="E326" s="53" t="s">
        <v>86</v>
      </c>
      <c r="F326" s="45">
        <f t="shared" si="44"/>
        <v>90</v>
      </c>
      <c r="G326" s="58">
        <f t="shared" si="41"/>
        <v>1.5</v>
      </c>
      <c r="H326" s="5"/>
      <c r="I326" s="5"/>
      <c r="J326" s="5"/>
      <c r="K326" s="5"/>
      <c r="L326" s="5"/>
      <c r="M326" s="3">
        <v>30</v>
      </c>
      <c r="O326" s="3">
        <v>30</v>
      </c>
      <c r="P326" s="3">
        <v>30</v>
      </c>
    </row>
    <row r="327" spans="1:16" ht="15.75" hidden="1" x14ac:dyDescent="0.25">
      <c r="A327" s="48">
        <v>326</v>
      </c>
      <c r="B327" s="49" t="s">
        <v>714</v>
      </c>
      <c r="C327" s="49" t="s">
        <v>715</v>
      </c>
      <c r="D327" s="53" t="s">
        <v>47</v>
      </c>
      <c r="E327" s="53" t="s">
        <v>51</v>
      </c>
      <c r="F327" s="45">
        <f t="shared" si="44"/>
        <v>150</v>
      </c>
      <c r="G327" s="58">
        <f t="shared" si="41"/>
        <v>2.5</v>
      </c>
      <c r="H327" s="5"/>
      <c r="I327" s="5"/>
      <c r="J327" s="5"/>
      <c r="K327" s="5">
        <v>90</v>
      </c>
      <c r="L327" s="5">
        <v>60</v>
      </c>
    </row>
    <row r="328" spans="1:16" ht="15.75" hidden="1" x14ac:dyDescent="0.25">
      <c r="A328" s="48">
        <v>327</v>
      </c>
      <c r="B328" s="49" t="s">
        <v>716</v>
      </c>
      <c r="C328" s="49" t="s">
        <v>717</v>
      </c>
      <c r="D328" s="53" t="s">
        <v>47</v>
      </c>
      <c r="E328" s="53" t="s">
        <v>51</v>
      </c>
      <c r="F328" s="45">
        <f t="shared" si="44"/>
        <v>207</v>
      </c>
      <c r="G328" s="58">
        <f t="shared" si="41"/>
        <v>3.45</v>
      </c>
      <c r="H328" s="5">
        <v>90</v>
      </c>
      <c r="I328" s="5">
        <v>57</v>
      </c>
      <c r="J328" s="5"/>
      <c r="K328" s="5"/>
      <c r="L328" s="5"/>
      <c r="M328" s="3">
        <v>30</v>
      </c>
      <c r="P328" s="3">
        <v>30</v>
      </c>
    </row>
    <row r="329" spans="1:16" ht="15.75" hidden="1" x14ac:dyDescent="0.25">
      <c r="A329" s="48">
        <v>328</v>
      </c>
      <c r="B329" s="49" t="s">
        <v>718</v>
      </c>
      <c r="C329" s="49" t="s">
        <v>719</v>
      </c>
      <c r="D329" s="53" t="s">
        <v>47</v>
      </c>
      <c r="E329" s="53" t="s">
        <v>48</v>
      </c>
      <c r="F329" s="45">
        <f t="shared" si="44"/>
        <v>120</v>
      </c>
      <c r="G329" s="58">
        <f t="shared" si="41"/>
        <v>2</v>
      </c>
      <c r="H329" s="5">
        <v>90</v>
      </c>
      <c r="I329" s="5"/>
      <c r="J329" s="5"/>
      <c r="K329" s="5"/>
      <c r="L329" s="5"/>
      <c r="M329" s="3">
        <v>30</v>
      </c>
    </row>
    <row r="330" spans="1:16" ht="15.75" hidden="1" x14ac:dyDescent="0.25">
      <c r="A330" s="48">
        <v>329</v>
      </c>
      <c r="B330" s="49" t="s">
        <v>720</v>
      </c>
      <c r="C330" s="49" t="s">
        <v>721</v>
      </c>
      <c r="D330" s="53" t="s">
        <v>47</v>
      </c>
      <c r="E330" s="53" t="s">
        <v>48</v>
      </c>
      <c r="F330" s="45">
        <f t="shared" si="44"/>
        <v>51</v>
      </c>
      <c r="G330" s="58">
        <f t="shared" si="41"/>
        <v>0.85</v>
      </c>
      <c r="H330" s="5"/>
      <c r="I330" s="5">
        <v>51</v>
      </c>
      <c r="J330" s="5"/>
      <c r="K330" s="5"/>
      <c r="L330" s="5"/>
    </row>
    <row r="331" spans="1:16" ht="15.75" hidden="1" x14ac:dyDescent="0.25">
      <c r="A331" s="48">
        <v>330</v>
      </c>
      <c r="B331" s="49" t="s">
        <v>722</v>
      </c>
      <c r="C331" s="49" t="s">
        <v>723</v>
      </c>
      <c r="D331" s="53" t="s">
        <v>47</v>
      </c>
      <c r="E331" s="53" t="s">
        <v>86</v>
      </c>
      <c r="F331" s="45">
        <f t="shared" si="44"/>
        <v>0</v>
      </c>
      <c r="G331" s="58">
        <f t="shared" si="41"/>
        <v>0</v>
      </c>
      <c r="H331" s="5"/>
      <c r="I331" s="5"/>
      <c r="J331" s="5"/>
      <c r="K331" s="5"/>
      <c r="L331" s="5"/>
    </row>
    <row r="332" spans="1:16" ht="15.75" hidden="1" x14ac:dyDescent="0.25">
      <c r="A332" s="48">
        <v>331</v>
      </c>
      <c r="B332" s="49" t="s">
        <v>724</v>
      </c>
      <c r="C332" s="49" t="s">
        <v>725</v>
      </c>
      <c r="D332" s="53" t="s">
        <v>47</v>
      </c>
      <c r="E332" s="53" t="s">
        <v>51</v>
      </c>
      <c r="F332" s="45">
        <f t="shared" si="44"/>
        <v>120</v>
      </c>
      <c r="G332" s="58">
        <f t="shared" si="41"/>
        <v>2</v>
      </c>
      <c r="H332" s="5"/>
      <c r="I332" s="5"/>
      <c r="J332" s="5"/>
      <c r="K332" s="5"/>
      <c r="L332" s="5"/>
      <c r="M332" s="3">
        <v>30</v>
      </c>
      <c r="N332" s="3">
        <v>30</v>
      </c>
      <c r="O332" s="3">
        <v>30</v>
      </c>
      <c r="P332" s="3">
        <v>30</v>
      </c>
    </row>
    <row r="333" spans="1:16" ht="15.75" hidden="1" x14ac:dyDescent="0.25">
      <c r="A333" s="48">
        <v>332</v>
      </c>
      <c r="B333" s="49" t="s">
        <v>726</v>
      </c>
      <c r="C333" s="49" t="s">
        <v>727</v>
      </c>
      <c r="D333" s="53" t="s">
        <v>47</v>
      </c>
      <c r="E333" s="53" t="s">
        <v>51</v>
      </c>
      <c r="F333" s="45">
        <f t="shared" si="44"/>
        <v>0</v>
      </c>
      <c r="G333" s="58">
        <f t="shared" si="41"/>
        <v>0</v>
      </c>
      <c r="H333" s="5"/>
      <c r="I333" s="5"/>
      <c r="J333" s="5"/>
      <c r="K333" s="5"/>
      <c r="L333" s="5"/>
    </row>
    <row r="334" spans="1:16" ht="15.75" hidden="1" x14ac:dyDescent="0.25">
      <c r="A334" s="48">
        <v>333</v>
      </c>
      <c r="B334" s="49" t="s">
        <v>728</v>
      </c>
      <c r="C334" s="49" t="s">
        <v>729</v>
      </c>
      <c r="D334" s="53" t="s">
        <v>47</v>
      </c>
      <c r="E334" s="53" t="s">
        <v>105</v>
      </c>
      <c r="F334" s="45">
        <f t="shared" si="44"/>
        <v>0</v>
      </c>
      <c r="G334" s="58">
        <f t="shared" si="41"/>
        <v>0</v>
      </c>
      <c r="H334" s="5"/>
      <c r="I334" s="5"/>
      <c r="J334" s="5"/>
      <c r="K334" s="5"/>
      <c r="L334" s="5"/>
    </row>
    <row r="335" spans="1:16" ht="15.75" hidden="1" x14ac:dyDescent="0.25">
      <c r="A335" s="48">
        <v>334</v>
      </c>
      <c r="B335" s="49" t="s">
        <v>730</v>
      </c>
      <c r="C335" s="49" t="s">
        <v>731</v>
      </c>
      <c r="D335" s="53" t="s">
        <v>47</v>
      </c>
      <c r="E335" s="53" t="s">
        <v>48</v>
      </c>
      <c r="F335" s="45">
        <f t="shared" si="44"/>
        <v>210</v>
      </c>
      <c r="G335" s="58">
        <f t="shared" si="41"/>
        <v>3.5</v>
      </c>
      <c r="H335" s="5"/>
      <c r="I335" s="5"/>
      <c r="J335" s="5">
        <v>60</v>
      </c>
      <c r="K335" s="5">
        <v>90</v>
      </c>
      <c r="L335" s="5"/>
      <c r="M335" s="3">
        <v>30</v>
      </c>
      <c r="N335" s="3">
        <v>30</v>
      </c>
    </row>
    <row r="336" spans="1:16" ht="15.75" hidden="1" x14ac:dyDescent="0.25">
      <c r="A336" s="48">
        <v>335</v>
      </c>
      <c r="B336" s="49" t="s">
        <v>732</v>
      </c>
      <c r="C336" s="49" t="s">
        <v>733</v>
      </c>
      <c r="D336" s="53" t="s">
        <v>47</v>
      </c>
      <c r="E336" s="53" t="s">
        <v>48</v>
      </c>
      <c r="F336" s="45">
        <f t="shared" si="44"/>
        <v>60</v>
      </c>
      <c r="G336" s="58">
        <f t="shared" si="41"/>
        <v>1</v>
      </c>
      <c r="H336" s="5"/>
      <c r="I336" s="5"/>
      <c r="J336" s="5"/>
      <c r="K336" s="5"/>
      <c r="L336" s="5"/>
      <c r="O336" s="3">
        <v>30</v>
      </c>
      <c r="P336" s="3">
        <v>30</v>
      </c>
    </row>
    <row r="337" spans="1:16" ht="15.75" hidden="1" x14ac:dyDescent="0.25">
      <c r="A337" s="48">
        <v>336</v>
      </c>
      <c r="B337" s="49" t="s">
        <v>734</v>
      </c>
      <c r="C337" s="49" t="s">
        <v>735</v>
      </c>
      <c r="D337" s="53" t="s">
        <v>47</v>
      </c>
      <c r="E337" s="53" t="s">
        <v>51</v>
      </c>
      <c r="F337" s="45">
        <f t="shared" si="44"/>
        <v>0</v>
      </c>
      <c r="G337" s="58">
        <f t="shared" si="41"/>
        <v>0</v>
      </c>
      <c r="H337" s="5"/>
      <c r="I337" s="5"/>
      <c r="J337" s="5"/>
      <c r="K337" s="5"/>
      <c r="L337" s="5"/>
    </row>
    <row r="338" spans="1:16" ht="15.75" hidden="1" x14ac:dyDescent="0.25">
      <c r="A338" s="48">
        <v>337</v>
      </c>
      <c r="B338" s="49" t="s">
        <v>736</v>
      </c>
      <c r="C338" s="49" t="s">
        <v>737</v>
      </c>
      <c r="D338" s="53" t="s">
        <v>47</v>
      </c>
      <c r="E338" s="53" t="s">
        <v>51</v>
      </c>
      <c r="F338" s="45">
        <f t="shared" si="44"/>
        <v>0</v>
      </c>
      <c r="G338" s="58">
        <f t="shared" si="41"/>
        <v>0</v>
      </c>
      <c r="H338" s="5"/>
      <c r="I338" s="5"/>
      <c r="J338" s="5"/>
      <c r="K338" s="5"/>
      <c r="L338" s="5"/>
    </row>
    <row r="339" spans="1:16" ht="15.75" hidden="1" x14ac:dyDescent="0.25">
      <c r="A339" s="48">
        <v>338</v>
      </c>
      <c r="B339" s="49" t="s">
        <v>738</v>
      </c>
      <c r="C339" s="49" t="s">
        <v>739</v>
      </c>
      <c r="D339" s="53" t="s">
        <v>47</v>
      </c>
      <c r="E339" s="53" t="s">
        <v>76</v>
      </c>
      <c r="F339" s="45">
        <f t="shared" si="44"/>
        <v>30</v>
      </c>
      <c r="G339" s="58">
        <f t="shared" si="41"/>
        <v>0.5</v>
      </c>
      <c r="H339" s="5"/>
      <c r="I339" s="5"/>
      <c r="J339" s="5"/>
      <c r="K339" s="5"/>
      <c r="L339" s="5"/>
      <c r="O339" s="3">
        <v>30</v>
      </c>
    </row>
    <row r="340" spans="1:16" ht="15.75" hidden="1" x14ac:dyDescent="0.25">
      <c r="A340" s="48">
        <v>339</v>
      </c>
      <c r="B340" s="49" t="s">
        <v>740</v>
      </c>
      <c r="C340" s="49" t="s">
        <v>741</v>
      </c>
      <c r="D340" s="53" t="s">
        <v>47</v>
      </c>
      <c r="E340" s="53" t="s">
        <v>51</v>
      </c>
      <c r="F340" s="45">
        <f t="shared" si="44"/>
        <v>403</v>
      </c>
      <c r="G340" s="58">
        <f t="shared" si="41"/>
        <v>6.7166666666666668</v>
      </c>
      <c r="H340" s="5"/>
      <c r="I340" s="5">
        <v>73</v>
      </c>
      <c r="J340" s="5">
        <v>60</v>
      </c>
      <c r="K340" s="5">
        <v>90</v>
      </c>
      <c r="L340" s="5">
        <v>60</v>
      </c>
      <c r="M340" s="3">
        <v>30</v>
      </c>
      <c r="N340" s="3">
        <v>30</v>
      </c>
      <c r="O340" s="3">
        <v>30</v>
      </c>
      <c r="P340" s="3">
        <v>30</v>
      </c>
    </row>
    <row r="341" spans="1:16" ht="15.75" hidden="1" x14ac:dyDescent="0.25">
      <c r="A341" s="48">
        <v>340</v>
      </c>
      <c r="B341" s="49" t="s">
        <v>742</v>
      </c>
      <c r="C341" s="49" t="s">
        <v>743</v>
      </c>
      <c r="D341" s="53" t="s">
        <v>47</v>
      </c>
      <c r="E341" s="53" t="s">
        <v>51</v>
      </c>
      <c r="F341" s="45">
        <f t="shared" si="44"/>
        <v>0</v>
      </c>
      <c r="G341" s="58">
        <f t="shared" si="41"/>
        <v>0</v>
      </c>
      <c r="H341" s="5"/>
      <c r="I341" s="5"/>
      <c r="J341" s="5"/>
      <c r="K341" s="5"/>
      <c r="L341" s="5"/>
    </row>
    <row r="342" spans="1:16" ht="15.75" hidden="1" x14ac:dyDescent="0.25">
      <c r="A342" s="48">
        <v>341</v>
      </c>
      <c r="B342" s="49" t="s">
        <v>744</v>
      </c>
      <c r="C342" s="49" t="s">
        <v>745</v>
      </c>
      <c r="D342" s="53" t="s">
        <v>47</v>
      </c>
      <c r="E342" s="53" t="s">
        <v>48</v>
      </c>
      <c r="F342" s="45">
        <f t="shared" si="44"/>
        <v>0</v>
      </c>
      <c r="G342" s="58">
        <f t="shared" si="41"/>
        <v>0</v>
      </c>
      <c r="H342" s="5"/>
      <c r="I342" s="5"/>
      <c r="J342" s="5"/>
      <c r="K342" s="5"/>
      <c r="L342" s="5"/>
    </row>
    <row r="343" spans="1:16" ht="15.75" hidden="1" x14ac:dyDescent="0.25">
      <c r="A343" s="48">
        <v>342</v>
      </c>
      <c r="B343" s="49" t="s">
        <v>746</v>
      </c>
      <c r="C343" s="49" t="s">
        <v>747</v>
      </c>
      <c r="D343" s="53" t="s">
        <v>47</v>
      </c>
      <c r="E343" s="53" t="s">
        <v>48</v>
      </c>
      <c r="F343" s="45">
        <f t="shared" si="44"/>
        <v>150</v>
      </c>
      <c r="G343" s="58">
        <f t="shared" si="41"/>
        <v>2.5</v>
      </c>
      <c r="H343" s="5">
        <v>90</v>
      </c>
      <c r="I343" s="5"/>
      <c r="J343" s="5"/>
      <c r="K343" s="5"/>
      <c r="L343" s="5"/>
      <c r="O343" s="3">
        <v>30</v>
      </c>
      <c r="P343" s="3">
        <v>30</v>
      </c>
    </row>
    <row r="344" spans="1:16" ht="15.75" hidden="1" x14ac:dyDescent="0.25">
      <c r="A344" s="48">
        <v>343</v>
      </c>
      <c r="B344" s="49" t="s">
        <v>748</v>
      </c>
      <c r="C344" s="49" t="s">
        <v>749</v>
      </c>
      <c r="D344" s="53" t="s">
        <v>47</v>
      </c>
      <c r="E344" s="53" t="s">
        <v>48</v>
      </c>
      <c r="F344" s="45">
        <f t="shared" si="44"/>
        <v>50</v>
      </c>
      <c r="G344" s="58">
        <f t="shared" si="41"/>
        <v>0.83333333333333337</v>
      </c>
      <c r="H344" s="5"/>
      <c r="I344" s="5">
        <v>50</v>
      </c>
      <c r="J344" s="5"/>
      <c r="K344" s="5"/>
      <c r="L344" s="5"/>
    </row>
    <row r="345" spans="1:16" ht="15.75" hidden="1" x14ac:dyDescent="0.25">
      <c r="A345" s="48">
        <v>344</v>
      </c>
      <c r="B345" s="49" t="s">
        <v>750</v>
      </c>
      <c r="C345" s="49" t="s">
        <v>751</v>
      </c>
      <c r="D345" s="53" t="s">
        <v>47</v>
      </c>
      <c r="E345" s="53" t="s">
        <v>48</v>
      </c>
      <c r="F345" s="45">
        <f t="shared" si="44"/>
        <v>0</v>
      </c>
      <c r="G345" s="58">
        <f t="shared" si="41"/>
        <v>0</v>
      </c>
      <c r="H345" s="5"/>
      <c r="I345" s="5"/>
      <c r="J345" s="5"/>
      <c r="K345" s="5"/>
      <c r="L345" s="5"/>
    </row>
    <row r="346" spans="1:16" ht="15.75" hidden="1" x14ac:dyDescent="0.25">
      <c r="A346" s="48">
        <v>345</v>
      </c>
      <c r="B346" s="49" t="s">
        <v>752</v>
      </c>
      <c r="C346" s="49" t="s">
        <v>753</v>
      </c>
      <c r="D346" s="53" t="s">
        <v>47</v>
      </c>
      <c r="E346" s="53" t="s">
        <v>116</v>
      </c>
      <c r="F346" s="45">
        <f t="shared" si="44"/>
        <v>0</v>
      </c>
      <c r="G346" s="58">
        <f t="shared" si="41"/>
        <v>0</v>
      </c>
      <c r="H346" s="5"/>
      <c r="I346" s="5"/>
      <c r="J346" s="5"/>
      <c r="K346" s="5"/>
      <c r="L346" s="5"/>
    </row>
    <row r="347" spans="1:16" ht="15.75" hidden="1" x14ac:dyDescent="0.25">
      <c r="A347" s="48">
        <v>346</v>
      </c>
      <c r="B347" s="49" t="s">
        <v>754</v>
      </c>
      <c r="C347" s="49" t="s">
        <v>755</v>
      </c>
      <c r="D347" s="53" t="s">
        <v>47</v>
      </c>
      <c r="E347" s="53" t="s">
        <v>48</v>
      </c>
      <c r="F347" s="45">
        <f t="shared" si="44"/>
        <v>0</v>
      </c>
      <c r="G347" s="58">
        <f t="shared" si="41"/>
        <v>0</v>
      </c>
      <c r="H347" s="5"/>
      <c r="I347" s="5"/>
      <c r="J347" s="5"/>
      <c r="K347" s="5"/>
      <c r="L347" s="5"/>
    </row>
    <row r="348" spans="1:16" ht="15.75" hidden="1" x14ac:dyDescent="0.25">
      <c r="A348" s="48">
        <v>347</v>
      </c>
      <c r="B348" s="49" t="s">
        <v>756</v>
      </c>
      <c r="C348" s="49" t="s">
        <v>757</v>
      </c>
      <c r="D348" s="53" t="s">
        <v>47</v>
      </c>
      <c r="E348" s="53" t="s">
        <v>61</v>
      </c>
      <c r="F348" s="45">
        <f t="shared" si="44"/>
        <v>90</v>
      </c>
      <c r="G348" s="58">
        <f t="shared" si="41"/>
        <v>1.5</v>
      </c>
      <c r="H348" s="5"/>
      <c r="I348" s="5"/>
      <c r="J348" s="5"/>
      <c r="K348" s="5"/>
      <c r="L348" s="5"/>
      <c r="N348" s="3">
        <v>30</v>
      </c>
      <c r="O348" s="3">
        <v>30</v>
      </c>
      <c r="P348" s="3">
        <v>30</v>
      </c>
    </row>
    <row r="349" spans="1:16" ht="15.75" hidden="1" x14ac:dyDescent="0.25">
      <c r="A349" s="48">
        <v>348</v>
      </c>
      <c r="B349" s="49" t="s">
        <v>758</v>
      </c>
      <c r="C349" s="49" t="s">
        <v>759</v>
      </c>
      <c r="D349" s="53" t="s">
        <v>47</v>
      </c>
      <c r="E349" s="53" t="s">
        <v>61</v>
      </c>
      <c r="F349" s="45">
        <f t="shared" si="44"/>
        <v>0</v>
      </c>
      <c r="G349" s="58">
        <f t="shared" si="41"/>
        <v>0</v>
      </c>
      <c r="H349" s="5"/>
      <c r="I349" s="5"/>
      <c r="J349" s="5"/>
      <c r="K349" s="5"/>
      <c r="L349" s="5"/>
    </row>
    <row r="350" spans="1:16" ht="15.75" hidden="1" x14ac:dyDescent="0.25">
      <c r="A350" s="48">
        <v>349</v>
      </c>
      <c r="B350" s="49" t="s">
        <v>760</v>
      </c>
      <c r="C350" s="49" t="s">
        <v>761</v>
      </c>
      <c r="D350" s="53" t="s">
        <v>47</v>
      </c>
      <c r="E350" s="53" t="s">
        <v>48</v>
      </c>
      <c r="F350" s="45">
        <f t="shared" si="44"/>
        <v>196</v>
      </c>
      <c r="G350" s="58">
        <f t="shared" si="41"/>
        <v>3.2666666666666666</v>
      </c>
      <c r="H350" s="5">
        <v>90</v>
      </c>
      <c r="I350" s="5">
        <v>76</v>
      </c>
      <c r="J350" s="5"/>
      <c r="K350" s="5"/>
      <c r="L350" s="5"/>
      <c r="P350" s="3">
        <v>30</v>
      </c>
    </row>
    <row r="351" spans="1:16" ht="15.75" hidden="1" x14ac:dyDescent="0.25">
      <c r="A351" s="48">
        <v>350</v>
      </c>
      <c r="B351" s="49" t="s">
        <v>762</v>
      </c>
      <c r="C351" s="49" t="s">
        <v>763</v>
      </c>
      <c r="D351" s="53" t="s">
        <v>47</v>
      </c>
      <c r="E351" s="53" t="s">
        <v>105</v>
      </c>
      <c r="F351" s="45">
        <f t="shared" si="44"/>
        <v>260</v>
      </c>
      <c r="G351" s="58">
        <f t="shared" si="41"/>
        <v>4.333333333333333</v>
      </c>
      <c r="H351" s="5">
        <v>90</v>
      </c>
      <c r="I351" s="5">
        <v>50</v>
      </c>
      <c r="J351" s="5">
        <v>60</v>
      </c>
      <c r="K351" s="5"/>
      <c r="L351" s="5">
        <v>60</v>
      </c>
    </row>
    <row r="352" spans="1:16" ht="15.75" hidden="1" x14ac:dyDescent="0.25">
      <c r="A352" s="48">
        <v>351</v>
      </c>
      <c r="B352" s="49" t="s">
        <v>764</v>
      </c>
      <c r="C352" s="49" t="s">
        <v>765</v>
      </c>
      <c r="D352" s="53" t="s">
        <v>47</v>
      </c>
      <c r="E352" s="53" t="s">
        <v>56</v>
      </c>
      <c r="F352" s="45">
        <f t="shared" si="44"/>
        <v>173</v>
      </c>
      <c r="G352" s="58">
        <f t="shared" si="41"/>
        <v>2.8833333333333333</v>
      </c>
      <c r="H352" s="5">
        <v>90</v>
      </c>
      <c r="I352" s="5">
        <v>83</v>
      </c>
      <c r="J352" s="5"/>
      <c r="K352" s="5"/>
      <c r="L352" s="5"/>
    </row>
    <row r="353" spans="1:16" ht="15.75" hidden="1" x14ac:dyDescent="0.25">
      <c r="A353" s="48">
        <v>352</v>
      </c>
      <c r="B353" s="49" t="s">
        <v>766</v>
      </c>
      <c r="C353" s="49" t="s">
        <v>767</v>
      </c>
      <c r="D353" s="53" t="s">
        <v>47</v>
      </c>
      <c r="E353" s="53" t="s">
        <v>76</v>
      </c>
      <c r="F353" s="45">
        <f t="shared" si="44"/>
        <v>0</v>
      </c>
      <c r="G353" s="58">
        <f t="shared" si="41"/>
        <v>0</v>
      </c>
      <c r="H353" s="5"/>
      <c r="I353" s="5"/>
      <c r="J353" s="5"/>
      <c r="K353" s="5"/>
      <c r="L353" s="5"/>
    </row>
    <row r="354" spans="1:16" ht="15.75" hidden="1" x14ac:dyDescent="0.25">
      <c r="A354" s="48">
        <v>353</v>
      </c>
      <c r="B354" s="49" t="s">
        <v>768</v>
      </c>
      <c r="C354" s="49" t="s">
        <v>769</v>
      </c>
      <c r="D354" s="53" t="s">
        <v>47</v>
      </c>
      <c r="E354" s="53" t="s">
        <v>105</v>
      </c>
      <c r="F354" s="45">
        <f t="shared" si="44"/>
        <v>0</v>
      </c>
      <c r="G354" s="58">
        <f t="shared" si="41"/>
        <v>0</v>
      </c>
      <c r="H354" s="5"/>
      <c r="I354" s="5"/>
      <c r="J354" s="5"/>
      <c r="K354" s="5"/>
      <c r="L354" s="5"/>
    </row>
    <row r="355" spans="1:16" ht="15.75" hidden="1" x14ac:dyDescent="0.25">
      <c r="A355" s="48">
        <v>354</v>
      </c>
      <c r="B355" s="49" t="s">
        <v>770</v>
      </c>
      <c r="C355" s="49" t="s">
        <v>771</v>
      </c>
      <c r="D355" s="53" t="s">
        <v>47</v>
      </c>
      <c r="E355" s="53" t="s">
        <v>61</v>
      </c>
      <c r="F355" s="45">
        <f t="shared" si="44"/>
        <v>0</v>
      </c>
      <c r="G355" s="58">
        <f t="shared" si="41"/>
        <v>0</v>
      </c>
      <c r="H355" s="5"/>
      <c r="I355" s="5"/>
      <c r="J355" s="5"/>
      <c r="K355" s="5"/>
      <c r="L355" s="5"/>
    </row>
    <row r="356" spans="1:16" ht="15.75" hidden="1" x14ac:dyDescent="0.25">
      <c r="A356" s="48">
        <v>355</v>
      </c>
      <c r="B356" s="49" t="s">
        <v>772</v>
      </c>
      <c r="C356" s="49" t="s">
        <v>773</v>
      </c>
      <c r="D356" s="53" t="s">
        <v>82</v>
      </c>
      <c r="E356" s="53" t="s">
        <v>140</v>
      </c>
      <c r="F356" s="45">
        <f t="shared" si="43"/>
        <v>0</v>
      </c>
      <c r="G356" s="58">
        <f t="shared" si="41"/>
        <v>0</v>
      </c>
      <c r="H356" s="5"/>
      <c r="I356" s="5"/>
      <c r="J356" s="5"/>
      <c r="K356" s="5"/>
      <c r="L356" s="5"/>
    </row>
    <row r="357" spans="1:16" ht="15.75" hidden="1" x14ac:dyDescent="0.25">
      <c r="A357" s="48">
        <v>356</v>
      </c>
      <c r="B357" s="49" t="s">
        <v>774</v>
      </c>
      <c r="C357" s="49" t="s">
        <v>775</v>
      </c>
      <c r="D357" s="53" t="s">
        <v>47</v>
      </c>
      <c r="E357" s="53" t="s">
        <v>51</v>
      </c>
      <c r="F357" s="45">
        <f>SUM($H357:$P357)</f>
        <v>210</v>
      </c>
      <c r="G357" s="58">
        <f t="shared" si="41"/>
        <v>3.5</v>
      </c>
      <c r="H357" s="5"/>
      <c r="I357" s="5"/>
      <c r="J357" s="5"/>
      <c r="K357" s="5">
        <v>90</v>
      </c>
      <c r="L357" s="5"/>
      <c r="M357" s="3">
        <v>30</v>
      </c>
      <c r="N357" s="3">
        <v>30</v>
      </c>
      <c r="O357" s="3">
        <v>30</v>
      </c>
      <c r="P357" s="3">
        <v>30</v>
      </c>
    </row>
    <row r="358" spans="1:16" ht="15.75" hidden="1" x14ac:dyDescent="0.25">
      <c r="A358" s="48">
        <v>357</v>
      </c>
      <c r="B358" s="49" t="s">
        <v>776</v>
      </c>
      <c r="C358" s="49" t="s">
        <v>777</v>
      </c>
      <c r="D358" s="53" t="s">
        <v>82</v>
      </c>
      <c r="E358" s="53" t="s">
        <v>83</v>
      </c>
      <c r="F358" s="45">
        <f t="shared" si="43"/>
        <v>0</v>
      </c>
      <c r="G358" s="58">
        <f t="shared" si="41"/>
        <v>0</v>
      </c>
      <c r="H358" s="5"/>
      <c r="I358" s="5"/>
      <c r="J358" s="5"/>
      <c r="K358" s="5"/>
      <c r="L358" s="5"/>
    </row>
    <row r="359" spans="1:16" ht="15.75" hidden="1" x14ac:dyDescent="0.25">
      <c r="A359" s="48">
        <v>358</v>
      </c>
      <c r="B359" s="49" t="s">
        <v>778</v>
      </c>
      <c r="C359" s="49" t="s">
        <v>779</v>
      </c>
      <c r="D359" s="53" t="s">
        <v>82</v>
      </c>
      <c r="E359" s="53" t="s">
        <v>140</v>
      </c>
      <c r="F359" s="45">
        <f t="shared" si="43"/>
        <v>0</v>
      </c>
      <c r="G359" s="58">
        <f t="shared" si="41"/>
        <v>0</v>
      </c>
      <c r="H359" s="5"/>
      <c r="I359" s="5"/>
      <c r="J359" s="5"/>
      <c r="K359" s="5"/>
      <c r="L359" s="5"/>
    </row>
    <row r="360" spans="1:16" ht="15.75" hidden="1" x14ac:dyDescent="0.25">
      <c r="A360" s="48">
        <v>359</v>
      </c>
      <c r="B360" s="49" t="s">
        <v>780</v>
      </c>
      <c r="C360" s="49" t="s">
        <v>781</v>
      </c>
      <c r="D360" s="53" t="s">
        <v>64</v>
      </c>
      <c r="E360" s="53" t="s">
        <v>186</v>
      </c>
      <c r="F360" s="45">
        <f t="shared" si="43"/>
        <v>0</v>
      </c>
      <c r="G360" s="58">
        <f t="shared" ref="G360:G423" si="45">F360/60</f>
        <v>0</v>
      </c>
      <c r="H360" s="5"/>
      <c r="I360" s="5"/>
      <c r="J360" s="5"/>
      <c r="K360" s="5"/>
      <c r="L360" s="5"/>
    </row>
    <row r="361" spans="1:16" ht="15.75" hidden="1" x14ac:dyDescent="0.25">
      <c r="A361" s="48">
        <v>360</v>
      </c>
      <c r="B361" s="49" t="s">
        <v>782</v>
      </c>
      <c r="C361" s="49" t="s">
        <v>783</v>
      </c>
      <c r="D361" s="53" t="s">
        <v>82</v>
      </c>
      <c r="E361" s="53" t="s">
        <v>83</v>
      </c>
      <c r="F361" s="45">
        <f t="shared" si="43"/>
        <v>0</v>
      </c>
      <c r="G361" s="58">
        <f t="shared" si="45"/>
        <v>0</v>
      </c>
      <c r="H361" s="5"/>
      <c r="I361" s="5"/>
      <c r="J361" s="5"/>
      <c r="K361" s="5"/>
      <c r="L361" s="5"/>
    </row>
    <row r="362" spans="1:16" ht="15.75" hidden="1" x14ac:dyDescent="0.25">
      <c r="A362" s="48">
        <v>361</v>
      </c>
      <c r="B362" s="49" t="s">
        <v>784</v>
      </c>
      <c r="C362" s="49" t="s">
        <v>785</v>
      </c>
      <c r="D362" s="53" t="s">
        <v>47</v>
      </c>
      <c r="E362" s="53" t="s">
        <v>48</v>
      </c>
      <c r="F362" s="45">
        <f t="shared" ref="F362:F364" si="46">SUM($H362:$P362)</f>
        <v>0</v>
      </c>
      <c r="G362" s="58">
        <f t="shared" si="45"/>
        <v>0</v>
      </c>
      <c r="H362" s="5"/>
      <c r="I362" s="5"/>
      <c r="J362" s="5"/>
      <c r="K362" s="5"/>
      <c r="L362" s="5"/>
    </row>
    <row r="363" spans="1:16" ht="15.75" hidden="1" x14ac:dyDescent="0.25">
      <c r="A363" s="48">
        <v>362</v>
      </c>
      <c r="B363" s="49" t="s">
        <v>786</v>
      </c>
      <c r="C363" s="49" t="s">
        <v>787</v>
      </c>
      <c r="D363" s="53" t="s">
        <v>47</v>
      </c>
      <c r="E363" s="53" t="s">
        <v>105</v>
      </c>
      <c r="F363" s="45">
        <f t="shared" si="46"/>
        <v>60</v>
      </c>
      <c r="G363" s="58">
        <f t="shared" si="45"/>
        <v>1</v>
      </c>
      <c r="H363" s="5"/>
      <c r="I363" s="5"/>
      <c r="J363" s="5"/>
      <c r="K363" s="5"/>
      <c r="L363" s="5">
        <v>60</v>
      </c>
    </row>
    <row r="364" spans="1:16" ht="15.75" hidden="1" x14ac:dyDescent="0.25">
      <c r="A364" s="48">
        <v>363</v>
      </c>
      <c r="B364" s="49" t="s">
        <v>788</v>
      </c>
      <c r="C364" s="49" t="s">
        <v>789</v>
      </c>
      <c r="D364" s="53" t="s">
        <v>47</v>
      </c>
      <c r="E364" s="53" t="s">
        <v>79</v>
      </c>
      <c r="F364" s="45">
        <f t="shared" si="46"/>
        <v>0</v>
      </c>
      <c r="G364" s="58">
        <f t="shared" si="45"/>
        <v>0</v>
      </c>
      <c r="H364" s="5"/>
      <c r="I364" s="5"/>
      <c r="J364" s="5"/>
      <c r="K364" s="5"/>
      <c r="L364" s="5"/>
    </row>
    <row r="365" spans="1:16" ht="15.75" hidden="1" x14ac:dyDescent="0.25">
      <c r="A365" s="48">
        <v>364</v>
      </c>
      <c r="B365" s="49" t="s">
        <v>790</v>
      </c>
      <c r="C365" s="49" t="s">
        <v>791</v>
      </c>
      <c r="D365" s="53" t="s">
        <v>82</v>
      </c>
      <c r="E365" s="53" t="s">
        <v>140</v>
      </c>
      <c r="F365" s="45">
        <f t="shared" si="43"/>
        <v>90</v>
      </c>
      <c r="G365" s="58">
        <f t="shared" si="45"/>
        <v>1.5</v>
      </c>
      <c r="H365" s="5"/>
      <c r="I365" s="5"/>
      <c r="J365" s="5"/>
      <c r="K365" s="5">
        <v>90</v>
      </c>
      <c r="L365" s="5"/>
    </row>
    <row r="366" spans="1:16" ht="15.75" hidden="1" x14ac:dyDescent="0.25">
      <c r="A366" s="48">
        <v>365</v>
      </c>
      <c r="B366" s="49" t="s">
        <v>792</v>
      </c>
      <c r="C366" s="49" t="s">
        <v>793</v>
      </c>
      <c r="D366" s="53" t="s">
        <v>47</v>
      </c>
      <c r="E366" s="53" t="s">
        <v>105</v>
      </c>
      <c r="F366" s="45">
        <f t="shared" ref="F366:F385" si="47">SUM($H366:$P366)</f>
        <v>0</v>
      </c>
      <c r="G366" s="58">
        <f t="shared" si="45"/>
        <v>0</v>
      </c>
      <c r="H366" s="5"/>
      <c r="I366" s="5"/>
      <c r="J366" s="5"/>
      <c r="K366" s="5"/>
      <c r="L366" s="5"/>
    </row>
    <row r="367" spans="1:16" ht="15.75" hidden="1" x14ac:dyDescent="0.25">
      <c r="A367" s="48">
        <v>366</v>
      </c>
      <c r="B367" s="49" t="s">
        <v>794</v>
      </c>
      <c r="C367" s="49" t="s">
        <v>795</v>
      </c>
      <c r="D367" s="53" t="s">
        <v>47</v>
      </c>
      <c r="E367" s="53" t="s">
        <v>76</v>
      </c>
      <c r="F367" s="45">
        <f t="shared" si="47"/>
        <v>210</v>
      </c>
      <c r="G367" s="58">
        <f t="shared" si="45"/>
        <v>3.5</v>
      </c>
      <c r="H367" s="5"/>
      <c r="I367" s="5"/>
      <c r="J367" s="5"/>
      <c r="K367" s="5">
        <v>90</v>
      </c>
      <c r="L367" s="5"/>
      <c r="M367" s="3">
        <v>30</v>
      </c>
      <c r="N367" s="3">
        <v>30</v>
      </c>
      <c r="O367" s="3">
        <v>30</v>
      </c>
      <c r="P367" s="3">
        <v>30</v>
      </c>
    </row>
    <row r="368" spans="1:16" ht="15.75" hidden="1" x14ac:dyDescent="0.25">
      <c r="A368" s="48">
        <v>367</v>
      </c>
      <c r="B368" s="49" t="s">
        <v>796</v>
      </c>
      <c r="C368" s="49" t="s">
        <v>797</v>
      </c>
      <c r="D368" s="53" t="s">
        <v>47</v>
      </c>
      <c r="E368" s="53" t="s">
        <v>105</v>
      </c>
      <c r="F368" s="45">
        <f t="shared" si="47"/>
        <v>0</v>
      </c>
      <c r="G368" s="58">
        <f t="shared" si="45"/>
        <v>0</v>
      </c>
      <c r="H368" s="5"/>
      <c r="I368" s="5"/>
      <c r="J368" s="5"/>
      <c r="K368" s="5"/>
      <c r="L368" s="5"/>
    </row>
    <row r="369" spans="1:16" ht="15.75" hidden="1" x14ac:dyDescent="0.25">
      <c r="A369" s="48">
        <v>368</v>
      </c>
      <c r="B369" s="49" t="s">
        <v>798</v>
      </c>
      <c r="C369" s="49" t="s">
        <v>799</v>
      </c>
      <c r="D369" s="53" t="s">
        <v>47</v>
      </c>
      <c r="E369" s="53" t="s">
        <v>48</v>
      </c>
      <c r="F369" s="45">
        <f t="shared" si="47"/>
        <v>90</v>
      </c>
      <c r="G369" s="58">
        <f t="shared" si="45"/>
        <v>1.5</v>
      </c>
      <c r="H369" s="5"/>
      <c r="I369" s="5"/>
      <c r="J369" s="5"/>
      <c r="K369" s="5"/>
      <c r="L369" s="5"/>
      <c r="M369" s="3">
        <v>30</v>
      </c>
      <c r="N369" s="3">
        <v>30</v>
      </c>
      <c r="P369" s="3">
        <v>30</v>
      </c>
    </row>
    <row r="370" spans="1:16" ht="15.75" hidden="1" x14ac:dyDescent="0.25">
      <c r="A370" s="48">
        <v>369</v>
      </c>
      <c r="B370" s="49" t="s">
        <v>800</v>
      </c>
      <c r="C370" s="49" t="s">
        <v>801</v>
      </c>
      <c r="D370" s="53" t="s">
        <v>47</v>
      </c>
      <c r="E370" s="53" t="s">
        <v>105</v>
      </c>
      <c r="F370" s="45">
        <f t="shared" si="47"/>
        <v>0</v>
      </c>
      <c r="G370" s="58">
        <f t="shared" si="45"/>
        <v>0</v>
      </c>
      <c r="H370" s="5"/>
      <c r="I370" s="5"/>
      <c r="J370" s="5"/>
      <c r="K370" s="5"/>
      <c r="L370" s="5"/>
    </row>
    <row r="371" spans="1:16" ht="15.75" hidden="1" x14ac:dyDescent="0.25">
      <c r="A371" s="48">
        <v>370</v>
      </c>
      <c r="B371" s="49" t="s">
        <v>802</v>
      </c>
      <c r="C371" s="49" t="s">
        <v>803</v>
      </c>
      <c r="D371" s="53" t="s">
        <v>47</v>
      </c>
      <c r="E371" s="53" t="s">
        <v>48</v>
      </c>
      <c r="F371" s="45">
        <f t="shared" si="47"/>
        <v>90</v>
      </c>
      <c r="G371" s="58">
        <f t="shared" si="45"/>
        <v>1.5</v>
      </c>
      <c r="H371" s="5"/>
      <c r="I371" s="5"/>
      <c r="J371" s="5"/>
      <c r="K371" s="5"/>
      <c r="L371" s="5"/>
      <c r="M371" s="3">
        <v>30</v>
      </c>
      <c r="N371" s="3">
        <v>30</v>
      </c>
      <c r="P371" s="3">
        <v>30</v>
      </c>
    </row>
    <row r="372" spans="1:16" ht="15.75" hidden="1" x14ac:dyDescent="0.25">
      <c r="A372" s="48">
        <v>371</v>
      </c>
      <c r="B372" s="49" t="s">
        <v>804</v>
      </c>
      <c r="C372" s="49" t="s">
        <v>805</v>
      </c>
      <c r="D372" s="53" t="s">
        <v>47</v>
      </c>
      <c r="E372" s="53" t="s">
        <v>56</v>
      </c>
      <c r="F372" s="45">
        <f t="shared" si="47"/>
        <v>74</v>
      </c>
      <c r="G372" s="58">
        <f t="shared" si="45"/>
        <v>1.2333333333333334</v>
      </c>
      <c r="H372" s="5"/>
      <c r="I372" s="5">
        <v>74</v>
      </c>
      <c r="J372" s="5"/>
      <c r="K372" s="5"/>
      <c r="L372" s="5"/>
    </row>
    <row r="373" spans="1:16" ht="15.75" hidden="1" x14ac:dyDescent="0.25">
      <c r="A373" s="48">
        <v>372</v>
      </c>
      <c r="B373" s="49" t="s">
        <v>806</v>
      </c>
      <c r="C373" s="49" t="s">
        <v>807</v>
      </c>
      <c r="D373" s="53" t="s">
        <v>47</v>
      </c>
      <c r="E373" s="53" t="s">
        <v>56</v>
      </c>
      <c r="F373" s="45">
        <f t="shared" si="47"/>
        <v>0</v>
      </c>
      <c r="G373" s="58">
        <f t="shared" si="45"/>
        <v>0</v>
      </c>
      <c r="H373" s="5"/>
      <c r="I373" s="5"/>
      <c r="J373" s="5"/>
      <c r="K373" s="5"/>
      <c r="L373" s="5"/>
    </row>
    <row r="374" spans="1:16" ht="15.75" hidden="1" x14ac:dyDescent="0.25">
      <c r="A374" s="48">
        <v>373</v>
      </c>
      <c r="B374" s="49" t="s">
        <v>808</v>
      </c>
      <c r="C374" s="49" t="s">
        <v>809</v>
      </c>
      <c r="D374" s="53" t="s">
        <v>47</v>
      </c>
      <c r="E374" s="53" t="s">
        <v>105</v>
      </c>
      <c r="F374" s="45">
        <f t="shared" si="47"/>
        <v>330</v>
      </c>
      <c r="G374" s="58">
        <f t="shared" si="45"/>
        <v>5.5</v>
      </c>
      <c r="H374" s="5">
        <v>90</v>
      </c>
      <c r="I374" s="5"/>
      <c r="J374" s="5"/>
      <c r="K374" s="5">
        <v>90</v>
      </c>
      <c r="L374" s="5">
        <v>60</v>
      </c>
      <c r="N374" s="3">
        <v>30</v>
      </c>
      <c r="O374" s="3">
        <v>30</v>
      </c>
      <c r="P374" s="3">
        <v>30</v>
      </c>
    </row>
    <row r="375" spans="1:16" ht="15.75" hidden="1" x14ac:dyDescent="0.25">
      <c r="A375" s="48">
        <v>374</v>
      </c>
      <c r="B375" s="49" t="s">
        <v>810</v>
      </c>
      <c r="C375" s="49" t="s">
        <v>811</v>
      </c>
      <c r="D375" s="53" t="s">
        <v>47</v>
      </c>
      <c r="E375" s="53" t="s">
        <v>51</v>
      </c>
      <c r="F375" s="45">
        <f t="shared" si="47"/>
        <v>0</v>
      </c>
      <c r="G375" s="58">
        <f t="shared" si="45"/>
        <v>0</v>
      </c>
      <c r="H375" s="5"/>
      <c r="I375" s="5"/>
      <c r="J375" s="5"/>
      <c r="K375" s="5"/>
      <c r="L375" s="5"/>
    </row>
    <row r="376" spans="1:16" ht="15.75" hidden="1" x14ac:dyDescent="0.25">
      <c r="A376" s="48">
        <v>375</v>
      </c>
      <c r="B376" s="49" t="s">
        <v>812</v>
      </c>
      <c r="C376" s="49" t="s">
        <v>813</v>
      </c>
      <c r="D376" s="53" t="s">
        <v>47</v>
      </c>
      <c r="E376" s="53" t="s">
        <v>205</v>
      </c>
      <c r="F376" s="45">
        <f t="shared" si="47"/>
        <v>0</v>
      </c>
      <c r="G376" s="58">
        <f t="shared" si="45"/>
        <v>0</v>
      </c>
      <c r="H376" s="5"/>
      <c r="I376" s="5"/>
      <c r="J376" s="5"/>
      <c r="K376" s="5"/>
      <c r="L376" s="5"/>
    </row>
    <row r="377" spans="1:16" ht="15.75" hidden="1" x14ac:dyDescent="0.25">
      <c r="A377" s="48">
        <v>376</v>
      </c>
      <c r="B377" s="49" t="s">
        <v>814</v>
      </c>
      <c r="C377" s="49" t="s">
        <v>815</v>
      </c>
      <c r="D377" s="53" t="s">
        <v>47</v>
      </c>
      <c r="E377" s="53" t="s">
        <v>116</v>
      </c>
      <c r="F377" s="45">
        <f t="shared" si="47"/>
        <v>0</v>
      </c>
      <c r="G377" s="58">
        <f t="shared" si="45"/>
        <v>0</v>
      </c>
      <c r="H377" s="5"/>
      <c r="I377" s="5"/>
      <c r="J377" s="5"/>
      <c r="K377" s="5"/>
      <c r="L377" s="5"/>
    </row>
    <row r="378" spans="1:16" ht="15.75" hidden="1" x14ac:dyDescent="0.25">
      <c r="A378" s="48">
        <v>377</v>
      </c>
      <c r="B378" s="49" t="s">
        <v>816</v>
      </c>
      <c r="C378" s="49" t="s">
        <v>817</v>
      </c>
      <c r="D378" s="53" t="s">
        <v>47</v>
      </c>
      <c r="E378" s="53" t="s">
        <v>48</v>
      </c>
      <c r="F378" s="45">
        <f t="shared" si="47"/>
        <v>0</v>
      </c>
      <c r="G378" s="58">
        <f t="shared" si="45"/>
        <v>0</v>
      </c>
      <c r="H378" s="5"/>
      <c r="I378" s="5"/>
      <c r="J378" s="5"/>
      <c r="K378" s="5"/>
      <c r="L378" s="5"/>
    </row>
    <row r="379" spans="1:16" ht="15.75" hidden="1" x14ac:dyDescent="0.25">
      <c r="A379" s="48">
        <v>378</v>
      </c>
      <c r="B379" s="49" t="s">
        <v>818</v>
      </c>
      <c r="C379" s="49" t="s">
        <v>819</v>
      </c>
      <c r="D379" s="53" t="s">
        <v>47</v>
      </c>
      <c r="E379" s="53" t="s">
        <v>48</v>
      </c>
      <c r="F379" s="45">
        <f t="shared" si="47"/>
        <v>90</v>
      </c>
      <c r="G379" s="58">
        <f t="shared" si="45"/>
        <v>1.5</v>
      </c>
      <c r="H379" s="5"/>
      <c r="I379" s="5"/>
      <c r="J379" s="5"/>
      <c r="K379" s="5"/>
      <c r="L379" s="5"/>
      <c r="M379" s="3">
        <v>30</v>
      </c>
      <c r="N379" s="3">
        <v>30</v>
      </c>
      <c r="O379" s="3">
        <v>30</v>
      </c>
    </row>
    <row r="380" spans="1:16" ht="15.75" hidden="1" x14ac:dyDescent="0.25">
      <c r="A380" s="48">
        <v>379</v>
      </c>
      <c r="B380" s="49" t="s">
        <v>820</v>
      </c>
      <c r="C380" s="49" t="s">
        <v>821</v>
      </c>
      <c r="D380" s="53" t="s">
        <v>47</v>
      </c>
      <c r="E380" s="53" t="s">
        <v>48</v>
      </c>
      <c r="F380" s="45">
        <f t="shared" si="47"/>
        <v>30</v>
      </c>
      <c r="G380" s="58">
        <f t="shared" si="45"/>
        <v>0.5</v>
      </c>
      <c r="H380" s="5"/>
      <c r="I380" s="5"/>
      <c r="J380" s="5"/>
      <c r="K380" s="5"/>
      <c r="L380" s="5"/>
      <c r="P380" s="3">
        <v>30</v>
      </c>
    </row>
    <row r="381" spans="1:16" ht="15.75" hidden="1" x14ac:dyDescent="0.25">
      <c r="A381" s="48">
        <v>380</v>
      </c>
      <c r="B381" s="49" t="s">
        <v>822</v>
      </c>
      <c r="C381" s="49" t="s">
        <v>823</v>
      </c>
      <c r="D381" s="53" t="s">
        <v>47</v>
      </c>
      <c r="E381" s="53" t="s">
        <v>48</v>
      </c>
      <c r="F381" s="45">
        <f t="shared" si="47"/>
        <v>30</v>
      </c>
      <c r="G381" s="58">
        <f t="shared" si="45"/>
        <v>0.5</v>
      </c>
      <c r="H381" s="5"/>
      <c r="I381" s="5"/>
      <c r="J381" s="5"/>
      <c r="K381" s="5"/>
      <c r="L381" s="5"/>
      <c r="N381" s="3">
        <v>30</v>
      </c>
    </row>
    <row r="382" spans="1:16" ht="15.75" hidden="1" x14ac:dyDescent="0.25">
      <c r="A382" s="48">
        <v>381</v>
      </c>
      <c r="B382" s="49" t="s">
        <v>824</v>
      </c>
      <c r="C382" s="49" t="s">
        <v>825</v>
      </c>
      <c r="D382" s="53" t="s">
        <v>47</v>
      </c>
      <c r="E382" s="53" t="s">
        <v>86</v>
      </c>
      <c r="F382" s="45">
        <f t="shared" si="47"/>
        <v>60</v>
      </c>
      <c r="G382" s="58">
        <f t="shared" si="45"/>
        <v>1</v>
      </c>
      <c r="H382" s="5"/>
      <c r="I382" s="5"/>
      <c r="J382" s="5"/>
      <c r="K382" s="5"/>
      <c r="L382" s="5"/>
      <c r="N382" s="3">
        <v>30</v>
      </c>
      <c r="P382" s="3">
        <v>30</v>
      </c>
    </row>
    <row r="383" spans="1:16" ht="15.75" hidden="1" x14ac:dyDescent="0.25">
      <c r="A383" s="48">
        <v>382</v>
      </c>
      <c r="B383" s="49" t="s">
        <v>826</v>
      </c>
      <c r="C383" s="49" t="s">
        <v>827</v>
      </c>
      <c r="D383" s="53" t="s">
        <v>47</v>
      </c>
      <c r="E383" s="53" t="s">
        <v>48</v>
      </c>
      <c r="F383" s="45">
        <f t="shared" si="47"/>
        <v>0</v>
      </c>
      <c r="G383" s="58">
        <f t="shared" si="45"/>
        <v>0</v>
      </c>
      <c r="H383" s="5"/>
      <c r="I383" s="5"/>
      <c r="J383" s="5"/>
      <c r="K383" s="5"/>
      <c r="L383" s="5"/>
    </row>
    <row r="384" spans="1:16" ht="15.75" hidden="1" x14ac:dyDescent="0.25">
      <c r="A384" s="48">
        <v>383</v>
      </c>
      <c r="B384" s="49" t="s">
        <v>828</v>
      </c>
      <c r="C384" s="49" t="s">
        <v>829</v>
      </c>
      <c r="D384" s="53" t="s">
        <v>47</v>
      </c>
      <c r="E384" s="53" t="s">
        <v>48</v>
      </c>
      <c r="F384" s="45">
        <f t="shared" si="47"/>
        <v>90</v>
      </c>
      <c r="G384" s="58">
        <f t="shared" si="45"/>
        <v>1.5</v>
      </c>
      <c r="H384" s="5"/>
      <c r="I384" s="5"/>
      <c r="J384" s="5"/>
      <c r="K384" s="5"/>
      <c r="L384" s="5"/>
      <c r="N384" s="3">
        <v>30</v>
      </c>
      <c r="O384" s="3">
        <v>30</v>
      </c>
      <c r="P384" s="3">
        <v>30</v>
      </c>
    </row>
    <row r="385" spans="1:16" ht="15.75" hidden="1" x14ac:dyDescent="0.25">
      <c r="A385" s="48">
        <v>384</v>
      </c>
      <c r="B385" s="49" t="s">
        <v>830</v>
      </c>
      <c r="C385" s="49" t="s">
        <v>831</v>
      </c>
      <c r="D385" s="53" t="s">
        <v>47</v>
      </c>
      <c r="E385" s="53" t="s">
        <v>56</v>
      </c>
      <c r="F385" s="45">
        <f t="shared" si="47"/>
        <v>0</v>
      </c>
      <c r="G385" s="58">
        <f t="shared" si="45"/>
        <v>0</v>
      </c>
      <c r="H385" s="5"/>
      <c r="I385" s="5"/>
      <c r="J385" s="5"/>
      <c r="K385" s="5"/>
      <c r="L385" s="5"/>
    </row>
    <row r="386" spans="1:16" ht="15.75" hidden="1" x14ac:dyDescent="0.25">
      <c r="A386" s="48">
        <v>385</v>
      </c>
      <c r="B386" s="49" t="s">
        <v>832</v>
      </c>
      <c r="C386" s="49" t="s">
        <v>833</v>
      </c>
      <c r="D386" s="53" t="s">
        <v>82</v>
      </c>
      <c r="E386" s="53" t="s">
        <v>140</v>
      </c>
      <c r="F386" s="45">
        <f t="shared" ref="F386:F448" si="48">SUM($H386:$K386)</f>
        <v>0</v>
      </c>
      <c r="G386" s="58">
        <f t="shared" si="45"/>
        <v>0</v>
      </c>
      <c r="H386" s="5"/>
      <c r="I386" s="5"/>
      <c r="J386" s="5"/>
      <c r="K386" s="5"/>
      <c r="L386" s="5"/>
    </row>
    <row r="387" spans="1:16" ht="15.75" hidden="1" x14ac:dyDescent="0.25">
      <c r="A387" s="48">
        <v>386</v>
      </c>
      <c r="B387" s="49" t="s">
        <v>834</v>
      </c>
      <c r="C387" s="49" t="s">
        <v>835</v>
      </c>
      <c r="D387" s="53" t="s">
        <v>47</v>
      </c>
      <c r="E387" s="53" t="s">
        <v>105</v>
      </c>
      <c r="F387" s="45">
        <f t="shared" ref="F387:F434" si="49">SUM($H387:$P387)</f>
        <v>0</v>
      </c>
      <c r="G387" s="58">
        <f t="shared" si="45"/>
        <v>0</v>
      </c>
      <c r="H387" s="5"/>
      <c r="I387" s="5"/>
      <c r="J387" s="5"/>
      <c r="K387" s="5"/>
      <c r="L387" s="5"/>
    </row>
    <row r="388" spans="1:16" ht="15.75" hidden="1" x14ac:dyDescent="0.25">
      <c r="A388" s="48">
        <v>387</v>
      </c>
      <c r="B388" s="49" t="s">
        <v>836</v>
      </c>
      <c r="C388" s="49" t="s">
        <v>837</v>
      </c>
      <c r="D388" s="53" t="s">
        <v>47</v>
      </c>
      <c r="E388" s="53" t="s">
        <v>48</v>
      </c>
      <c r="F388" s="45">
        <f t="shared" si="49"/>
        <v>90</v>
      </c>
      <c r="G388" s="58">
        <f t="shared" si="45"/>
        <v>1.5</v>
      </c>
      <c r="H388" s="5"/>
      <c r="I388" s="5"/>
      <c r="J388" s="5"/>
      <c r="K388" s="5">
        <v>90</v>
      </c>
      <c r="L388" s="5"/>
    </row>
    <row r="389" spans="1:16" ht="15.75" hidden="1" x14ac:dyDescent="0.25">
      <c r="A389" s="48">
        <v>388</v>
      </c>
      <c r="B389" s="49" t="s">
        <v>838</v>
      </c>
      <c r="C389" s="49" t="s">
        <v>839</v>
      </c>
      <c r="D389" s="53" t="s">
        <v>47</v>
      </c>
      <c r="E389" s="53" t="s">
        <v>51</v>
      </c>
      <c r="F389" s="45">
        <f t="shared" si="49"/>
        <v>30</v>
      </c>
      <c r="G389" s="58">
        <f t="shared" si="45"/>
        <v>0.5</v>
      </c>
      <c r="H389" s="5"/>
      <c r="I389" s="5"/>
      <c r="J389" s="5"/>
      <c r="K389" s="5"/>
      <c r="L389" s="5"/>
      <c r="O389" s="3">
        <v>30</v>
      </c>
    </row>
    <row r="390" spans="1:16" ht="15.75" hidden="1" x14ac:dyDescent="0.25">
      <c r="A390" s="48">
        <v>389</v>
      </c>
      <c r="B390" s="49" t="s">
        <v>840</v>
      </c>
      <c r="C390" s="49" t="s">
        <v>841</v>
      </c>
      <c r="D390" s="53" t="s">
        <v>47</v>
      </c>
      <c r="E390" s="53" t="s">
        <v>56</v>
      </c>
      <c r="F390" s="45">
        <f t="shared" si="49"/>
        <v>30</v>
      </c>
      <c r="G390" s="58">
        <f t="shared" si="45"/>
        <v>0.5</v>
      </c>
      <c r="H390" s="5"/>
      <c r="I390" s="5"/>
      <c r="J390" s="5"/>
      <c r="K390" s="5"/>
      <c r="L390" s="5"/>
      <c r="P390" s="3">
        <v>30</v>
      </c>
    </row>
    <row r="391" spans="1:16" ht="15.75" hidden="1" x14ac:dyDescent="0.25">
      <c r="A391" s="48">
        <v>390</v>
      </c>
      <c r="B391" s="49" t="s">
        <v>842</v>
      </c>
      <c r="C391" s="49" t="s">
        <v>843</v>
      </c>
      <c r="D391" s="53" t="s">
        <v>47</v>
      </c>
      <c r="E391" s="53" t="s">
        <v>48</v>
      </c>
      <c r="F391" s="45">
        <f t="shared" si="49"/>
        <v>0</v>
      </c>
      <c r="G391" s="58">
        <f t="shared" si="45"/>
        <v>0</v>
      </c>
      <c r="H391" s="5"/>
      <c r="I391" s="5"/>
      <c r="J391" s="5"/>
      <c r="K391" s="5"/>
      <c r="L391" s="5"/>
    </row>
    <row r="392" spans="1:16" ht="15.75" hidden="1" x14ac:dyDescent="0.25">
      <c r="A392" s="48">
        <v>391</v>
      </c>
      <c r="B392" s="49" t="s">
        <v>844</v>
      </c>
      <c r="C392" s="49" t="s">
        <v>845</v>
      </c>
      <c r="D392" s="53" t="s">
        <v>47</v>
      </c>
      <c r="E392" s="53" t="s">
        <v>61</v>
      </c>
      <c r="F392" s="45">
        <f t="shared" si="49"/>
        <v>170</v>
      </c>
      <c r="G392" s="58">
        <f t="shared" si="45"/>
        <v>2.8333333333333335</v>
      </c>
      <c r="H392" s="5"/>
      <c r="I392" s="5">
        <v>80</v>
      </c>
      <c r="J392" s="5"/>
      <c r="K392" s="5"/>
      <c r="L392" s="5">
        <v>60</v>
      </c>
      <c r="O392" s="3">
        <v>30</v>
      </c>
    </row>
    <row r="393" spans="1:16" ht="15.75" hidden="1" x14ac:dyDescent="0.25">
      <c r="A393" s="48">
        <v>392</v>
      </c>
      <c r="B393" s="49" t="s">
        <v>846</v>
      </c>
      <c r="C393" s="49" t="s">
        <v>847</v>
      </c>
      <c r="D393" s="53" t="s">
        <v>47</v>
      </c>
      <c r="E393" s="53" t="s">
        <v>76</v>
      </c>
      <c r="F393" s="45">
        <f t="shared" si="49"/>
        <v>30</v>
      </c>
      <c r="G393" s="58">
        <f t="shared" si="45"/>
        <v>0.5</v>
      </c>
      <c r="H393" s="5"/>
      <c r="I393" s="5"/>
      <c r="J393" s="5"/>
      <c r="K393" s="5"/>
      <c r="L393" s="5"/>
      <c r="N393" s="3">
        <v>30</v>
      </c>
    </row>
    <row r="394" spans="1:16" ht="15.75" hidden="1" x14ac:dyDescent="0.25">
      <c r="A394" s="48">
        <v>393</v>
      </c>
      <c r="B394" s="49" t="s">
        <v>848</v>
      </c>
      <c r="C394" s="49" t="s">
        <v>849</v>
      </c>
      <c r="D394" s="53" t="s">
        <v>47</v>
      </c>
      <c r="E394" s="53" t="s">
        <v>51</v>
      </c>
      <c r="F394" s="45">
        <f t="shared" si="49"/>
        <v>60</v>
      </c>
      <c r="G394" s="58">
        <f t="shared" si="45"/>
        <v>1</v>
      </c>
      <c r="H394" s="5"/>
      <c r="I394" s="5"/>
      <c r="J394" s="5"/>
      <c r="K394" s="5"/>
      <c r="L394" s="5"/>
      <c r="O394" s="3">
        <v>30</v>
      </c>
      <c r="P394" s="3">
        <v>30</v>
      </c>
    </row>
    <row r="395" spans="1:16" ht="15.75" hidden="1" x14ac:dyDescent="0.25">
      <c r="A395" s="48">
        <v>394</v>
      </c>
      <c r="B395" s="49" t="s">
        <v>850</v>
      </c>
      <c r="C395" s="49" t="s">
        <v>851</v>
      </c>
      <c r="D395" s="53" t="s">
        <v>47</v>
      </c>
      <c r="E395" s="53" t="s">
        <v>48</v>
      </c>
      <c r="F395" s="45">
        <f t="shared" si="49"/>
        <v>0</v>
      </c>
      <c r="G395" s="58">
        <f t="shared" si="45"/>
        <v>0</v>
      </c>
      <c r="H395" s="5"/>
      <c r="I395" s="5"/>
      <c r="J395" s="5"/>
      <c r="K395" s="5"/>
      <c r="L395" s="5"/>
    </row>
    <row r="396" spans="1:16" ht="15.75" hidden="1" x14ac:dyDescent="0.25">
      <c r="A396" s="48">
        <v>395</v>
      </c>
      <c r="B396" s="49" t="s">
        <v>852</v>
      </c>
      <c r="C396" s="49" t="s">
        <v>853</v>
      </c>
      <c r="D396" s="53" t="s">
        <v>47</v>
      </c>
      <c r="E396" s="53" t="s">
        <v>56</v>
      </c>
      <c r="F396" s="45">
        <f t="shared" si="49"/>
        <v>60</v>
      </c>
      <c r="G396" s="58">
        <f t="shared" si="45"/>
        <v>1</v>
      </c>
      <c r="H396" s="5"/>
      <c r="I396" s="5"/>
      <c r="J396" s="5"/>
      <c r="K396" s="5"/>
      <c r="L396" s="5"/>
      <c r="N396" s="3">
        <v>30</v>
      </c>
      <c r="P396" s="3">
        <v>30</v>
      </c>
    </row>
    <row r="397" spans="1:16" ht="15.75" hidden="1" x14ac:dyDescent="0.25">
      <c r="A397" s="48">
        <v>396</v>
      </c>
      <c r="B397" s="49" t="s">
        <v>854</v>
      </c>
      <c r="C397" s="49" t="s">
        <v>855</v>
      </c>
      <c r="D397" s="53" t="s">
        <v>47</v>
      </c>
      <c r="E397" s="53" t="s">
        <v>105</v>
      </c>
      <c r="F397" s="45">
        <f t="shared" si="49"/>
        <v>0</v>
      </c>
      <c r="G397" s="58">
        <f t="shared" si="45"/>
        <v>0</v>
      </c>
      <c r="H397" s="5"/>
      <c r="I397" s="5"/>
      <c r="J397" s="5"/>
      <c r="K397" s="5"/>
      <c r="L397" s="5"/>
    </row>
    <row r="398" spans="1:16" ht="15.75" hidden="1" x14ac:dyDescent="0.25">
      <c r="A398" s="48">
        <v>397</v>
      </c>
      <c r="B398" s="49" t="s">
        <v>856</v>
      </c>
      <c r="C398" s="49" t="s">
        <v>857</v>
      </c>
      <c r="D398" s="53" t="s">
        <v>47</v>
      </c>
      <c r="E398" s="53" t="s">
        <v>48</v>
      </c>
      <c r="F398" s="45">
        <f t="shared" si="49"/>
        <v>0</v>
      </c>
      <c r="G398" s="58">
        <f t="shared" si="45"/>
        <v>0</v>
      </c>
      <c r="H398" s="5"/>
      <c r="I398" s="5"/>
      <c r="J398" s="5"/>
      <c r="K398" s="5"/>
      <c r="L398" s="5"/>
    </row>
    <row r="399" spans="1:16" ht="15.75" hidden="1" x14ac:dyDescent="0.25">
      <c r="A399" s="48">
        <v>398</v>
      </c>
      <c r="B399" s="49" t="s">
        <v>858</v>
      </c>
      <c r="C399" s="49" t="s">
        <v>859</v>
      </c>
      <c r="D399" s="53" t="s">
        <v>47</v>
      </c>
      <c r="E399" s="53" t="s">
        <v>51</v>
      </c>
      <c r="F399" s="45">
        <f t="shared" si="49"/>
        <v>113</v>
      </c>
      <c r="G399" s="58">
        <f t="shared" si="45"/>
        <v>1.8833333333333333</v>
      </c>
      <c r="H399" s="5"/>
      <c r="I399" s="5">
        <v>53</v>
      </c>
      <c r="J399" s="5"/>
      <c r="K399" s="5"/>
      <c r="L399" s="5">
        <v>60</v>
      </c>
    </row>
    <row r="400" spans="1:16" ht="15.75" hidden="1" x14ac:dyDescent="0.25">
      <c r="A400" s="48">
        <v>399</v>
      </c>
      <c r="B400" s="49" t="s">
        <v>860</v>
      </c>
      <c r="C400" s="49" t="s">
        <v>861</v>
      </c>
      <c r="D400" s="53" t="s">
        <v>47</v>
      </c>
      <c r="E400" s="53" t="s">
        <v>48</v>
      </c>
      <c r="F400" s="45">
        <f t="shared" si="49"/>
        <v>30</v>
      </c>
      <c r="G400" s="58">
        <f t="shared" si="45"/>
        <v>0.5</v>
      </c>
      <c r="H400" s="5"/>
      <c r="I400" s="5"/>
      <c r="J400" s="5"/>
      <c r="K400" s="5"/>
      <c r="L400" s="5"/>
      <c r="P400" s="3">
        <v>30</v>
      </c>
    </row>
    <row r="401" spans="1:16" ht="15.75" hidden="1" x14ac:dyDescent="0.25">
      <c r="A401" s="48">
        <v>400</v>
      </c>
      <c r="B401" s="49" t="s">
        <v>862</v>
      </c>
      <c r="C401" s="49" t="s">
        <v>863</v>
      </c>
      <c r="D401" s="53" t="s">
        <v>47</v>
      </c>
      <c r="E401" s="53" t="s">
        <v>76</v>
      </c>
      <c r="F401" s="45">
        <f t="shared" si="49"/>
        <v>120</v>
      </c>
      <c r="G401" s="58">
        <f t="shared" si="45"/>
        <v>2</v>
      </c>
      <c r="H401" s="5"/>
      <c r="I401" s="5"/>
      <c r="J401" s="5"/>
      <c r="K401" s="5"/>
      <c r="L401" s="5"/>
      <c r="M401" s="3">
        <v>30</v>
      </c>
      <c r="N401" s="3">
        <v>30</v>
      </c>
      <c r="O401" s="3">
        <v>30</v>
      </c>
      <c r="P401" s="3">
        <v>30</v>
      </c>
    </row>
    <row r="402" spans="1:16" ht="15.75" hidden="1" x14ac:dyDescent="0.25">
      <c r="A402" s="48">
        <v>401</v>
      </c>
      <c r="B402" s="49" t="s">
        <v>864</v>
      </c>
      <c r="C402" s="49" t="s">
        <v>865</v>
      </c>
      <c r="D402" s="53" t="s">
        <v>47</v>
      </c>
      <c r="E402" s="53" t="s">
        <v>48</v>
      </c>
      <c r="F402" s="45">
        <f t="shared" si="49"/>
        <v>0</v>
      </c>
      <c r="G402" s="58">
        <f t="shared" si="45"/>
        <v>0</v>
      </c>
      <c r="H402" s="5"/>
      <c r="I402" s="5"/>
      <c r="J402" s="5"/>
      <c r="K402" s="5"/>
      <c r="L402" s="5"/>
    </row>
    <row r="403" spans="1:16" ht="15.75" hidden="1" x14ac:dyDescent="0.25">
      <c r="A403" s="48">
        <v>402</v>
      </c>
      <c r="B403" s="49" t="s">
        <v>866</v>
      </c>
      <c r="C403" s="49" t="s">
        <v>867</v>
      </c>
      <c r="D403" s="53" t="s">
        <v>47</v>
      </c>
      <c r="E403" s="53" t="s">
        <v>76</v>
      </c>
      <c r="F403" s="45">
        <f t="shared" si="49"/>
        <v>0</v>
      </c>
      <c r="G403" s="58">
        <f t="shared" si="45"/>
        <v>0</v>
      </c>
      <c r="H403" s="5"/>
      <c r="I403" s="5"/>
      <c r="J403" s="5"/>
      <c r="K403" s="5"/>
      <c r="L403" s="5"/>
    </row>
    <row r="404" spans="1:16" ht="15.75" hidden="1" x14ac:dyDescent="0.25">
      <c r="A404" s="48">
        <v>403</v>
      </c>
      <c r="B404" s="49" t="s">
        <v>868</v>
      </c>
      <c r="C404" s="49" t="s">
        <v>869</v>
      </c>
      <c r="D404" s="53" t="s">
        <v>47</v>
      </c>
      <c r="E404" s="53" t="s">
        <v>116</v>
      </c>
      <c r="F404" s="45">
        <f t="shared" si="49"/>
        <v>0</v>
      </c>
      <c r="G404" s="58">
        <f t="shared" si="45"/>
        <v>0</v>
      </c>
      <c r="H404" s="5"/>
      <c r="I404" s="5"/>
      <c r="J404" s="5"/>
      <c r="K404" s="5"/>
      <c r="L404" s="5"/>
    </row>
    <row r="405" spans="1:16" ht="15.75" hidden="1" x14ac:dyDescent="0.25">
      <c r="A405" s="48">
        <v>404</v>
      </c>
      <c r="B405" s="49" t="s">
        <v>870</v>
      </c>
      <c r="C405" s="49" t="s">
        <v>871</v>
      </c>
      <c r="D405" s="53" t="s">
        <v>47</v>
      </c>
      <c r="E405" s="53" t="s">
        <v>86</v>
      </c>
      <c r="F405" s="45">
        <f t="shared" si="49"/>
        <v>441</v>
      </c>
      <c r="G405" s="58">
        <f t="shared" si="45"/>
        <v>7.35</v>
      </c>
      <c r="H405" s="5">
        <v>90</v>
      </c>
      <c r="I405" s="5">
        <v>81</v>
      </c>
      <c r="J405" s="5"/>
      <c r="K405" s="5">
        <v>90</v>
      </c>
      <c r="L405" s="5">
        <v>60</v>
      </c>
      <c r="M405" s="3">
        <v>30</v>
      </c>
      <c r="N405" s="3">
        <v>30</v>
      </c>
      <c r="O405" s="3">
        <v>30</v>
      </c>
      <c r="P405" s="3">
        <v>30</v>
      </c>
    </row>
    <row r="406" spans="1:16" ht="15.75" hidden="1" x14ac:dyDescent="0.25">
      <c r="A406" s="48">
        <v>405</v>
      </c>
      <c r="B406" s="49" t="s">
        <v>872</v>
      </c>
      <c r="C406" s="49" t="s">
        <v>873</v>
      </c>
      <c r="D406" s="53" t="s">
        <v>47</v>
      </c>
      <c r="E406" s="53" t="s">
        <v>51</v>
      </c>
      <c r="F406" s="45">
        <f t="shared" si="49"/>
        <v>0</v>
      </c>
      <c r="G406" s="58">
        <f t="shared" si="45"/>
        <v>0</v>
      </c>
      <c r="H406" s="5"/>
      <c r="I406" s="5"/>
      <c r="J406" s="5"/>
      <c r="K406" s="5"/>
      <c r="L406" s="5"/>
    </row>
    <row r="407" spans="1:16" ht="15.75" hidden="1" x14ac:dyDescent="0.25">
      <c r="A407" s="48">
        <v>406</v>
      </c>
      <c r="B407" s="49" t="s">
        <v>874</v>
      </c>
      <c r="C407" s="49" t="s">
        <v>875</v>
      </c>
      <c r="D407" s="53" t="s">
        <v>47</v>
      </c>
      <c r="E407" s="53" t="s">
        <v>51</v>
      </c>
      <c r="F407" s="45">
        <f t="shared" si="49"/>
        <v>30</v>
      </c>
      <c r="G407" s="58">
        <f t="shared" si="45"/>
        <v>0.5</v>
      </c>
      <c r="H407" s="5"/>
      <c r="I407" s="5"/>
      <c r="J407" s="5"/>
      <c r="K407" s="5"/>
      <c r="L407" s="5"/>
      <c r="P407" s="3">
        <v>30</v>
      </c>
    </row>
    <row r="408" spans="1:16" ht="15.75" hidden="1" x14ac:dyDescent="0.25">
      <c r="A408" s="48">
        <v>407</v>
      </c>
      <c r="B408" s="49" t="s">
        <v>876</v>
      </c>
      <c r="C408" s="49" t="s">
        <v>877</v>
      </c>
      <c r="D408" s="53" t="s">
        <v>47</v>
      </c>
      <c r="E408" s="53" t="s">
        <v>76</v>
      </c>
      <c r="F408" s="45">
        <f t="shared" si="49"/>
        <v>90</v>
      </c>
      <c r="G408" s="58">
        <f t="shared" si="45"/>
        <v>1.5</v>
      </c>
      <c r="H408" s="5"/>
      <c r="I408" s="5"/>
      <c r="J408" s="5"/>
      <c r="K408" s="5"/>
      <c r="L408" s="5"/>
      <c r="N408" s="3">
        <v>30</v>
      </c>
      <c r="O408" s="3">
        <v>30</v>
      </c>
      <c r="P408" s="3">
        <v>30</v>
      </c>
    </row>
    <row r="409" spans="1:16" ht="15.75" hidden="1" x14ac:dyDescent="0.25">
      <c r="A409" s="48">
        <v>408</v>
      </c>
      <c r="B409" s="49" t="s">
        <v>878</v>
      </c>
      <c r="C409" s="49" t="s">
        <v>879</v>
      </c>
      <c r="D409" s="53" t="s">
        <v>47</v>
      </c>
      <c r="E409" s="53" t="s">
        <v>48</v>
      </c>
      <c r="F409" s="45">
        <f t="shared" si="49"/>
        <v>180</v>
      </c>
      <c r="G409" s="58">
        <f t="shared" si="45"/>
        <v>3</v>
      </c>
      <c r="H409" s="5">
        <v>90</v>
      </c>
      <c r="I409" s="5"/>
      <c r="J409" s="5">
        <v>60</v>
      </c>
      <c r="K409" s="5"/>
      <c r="L409" s="5"/>
      <c r="M409" s="3">
        <v>30</v>
      </c>
    </row>
    <row r="410" spans="1:16" ht="15.75" hidden="1" x14ac:dyDescent="0.25">
      <c r="A410" s="48">
        <v>409</v>
      </c>
      <c r="B410" s="49" t="s">
        <v>880</v>
      </c>
      <c r="C410" s="49" t="s">
        <v>881</v>
      </c>
      <c r="D410" s="53" t="s">
        <v>47</v>
      </c>
      <c r="E410" s="53" t="s">
        <v>48</v>
      </c>
      <c r="F410" s="45">
        <f t="shared" si="49"/>
        <v>60</v>
      </c>
      <c r="G410" s="58">
        <f t="shared" si="45"/>
        <v>1</v>
      </c>
      <c r="H410" s="5"/>
      <c r="I410" s="5"/>
      <c r="J410" s="5"/>
      <c r="K410" s="5"/>
      <c r="L410" s="5"/>
      <c r="O410" s="3">
        <v>30</v>
      </c>
      <c r="P410" s="3">
        <v>30</v>
      </c>
    </row>
    <row r="411" spans="1:16" ht="15.75" hidden="1" x14ac:dyDescent="0.25">
      <c r="A411" s="48">
        <v>410</v>
      </c>
      <c r="B411" s="49" t="s">
        <v>882</v>
      </c>
      <c r="C411" s="49" t="s">
        <v>883</v>
      </c>
      <c r="D411" s="53" t="s">
        <v>47</v>
      </c>
      <c r="E411" s="53" t="s">
        <v>105</v>
      </c>
      <c r="F411" s="45">
        <f t="shared" si="49"/>
        <v>0</v>
      </c>
      <c r="G411" s="58">
        <f t="shared" si="45"/>
        <v>0</v>
      </c>
      <c r="H411" s="5"/>
      <c r="I411" s="5"/>
      <c r="J411" s="5"/>
      <c r="K411" s="5"/>
      <c r="L411" s="5"/>
    </row>
    <row r="412" spans="1:16" ht="15.75" hidden="1" x14ac:dyDescent="0.25">
      <c r="A412" s="48">
        <v>411</v>
      </c>
      <c r="B412" s="49" t="s">
        <v>884</v>
      </c>
      <c r="C412" s="49" t="s">
        <v>885</v>
      </c>
      <c r="D412" s="53" t="s">
        <v>47</v>
      </c>
      <c r="E412" s="53" t="s">
        <v>48</v>
      </c>
      <c r="F412" s="45">
        <f t="shared" si="49"/>
        <v>0</v>
      </c>
      <c r="G412" s="58">
        <f t="shared" si="45"/>
        <v>0</v>
      </c>
      <c r="H412" s="5"/>
      <c r="I412" s="5"/>
      <c r="J412" s="5"/>
      <c r="K412" s="5"/>
      <c r="L412" s="5"/>
    </row>
    <row r="413" spans="1:16" ht="15.75" hidden="1" x14ac:dyDescent="0.25">
      <c r="A413" s="48">
        <v>412</v>
      </c>
      <c r="B413" s="49" t="s">
        <v>886</v>
      </c>
      <c r="C413" s="49" t="s">
        <v>887</v>
      </c>
      <c r="D413" s="53" t="s">
        <v>47</v>
      </c>
      <c r="E413" s="53" t="s">
        <v>56</v>
      </c>
      <c r="F413" s="45">
        <f t="shared" si="49"/>
        <v>60</v>
      </c>
      <c r="G413" s="58">
        <f t="shared" si="45"/>
        <v>1</v>
      </c>
      <c r="H413" s="5"/>
      <c r="I413" s="5"/>
      <c r="J413" s="5"/>
      <c r="K413" s="5"/>
      <c r="L413" s="5"/>
      <c r="O413" s="3">
        <v>30</v>
      </c>
      <c r="P413" s="3">
        <v>30</v>
      </c>
    </row>
    <row r="414" spans="1:16" ht="15.75" hidden="1" x14ac:dyDescent="0.25">
      <c r="A414" s="48">
        <v>413</v>
      </c>
      <c r="B414" s="49" t="s">
        <v>888</v>
      </c>
      <c r="C414" s="49" t="s">
        <v>889</v>
      </c>
      <c r="D414" s="53" t="s">
        <v>47</v>
      </c>
      <c r="E414" s="53" t="s">
        <v>79</v>
      </c>
      <c r="F414" s="45">
        <f t="shared" si="49"/>
        <v>0</v>
      </c>
      <c r="G414" s="58">
        <f t="shared" si="45"/>
        <v>0</v>
      </c>
      <c r="H414" s="5"/>
      <c r="I414" s="5"/>
      <c r="J414" s="5"/>
      <c r="K414" s="5"/>
      <c r="L414" s="5"/>
    </row>
    <row r="415" spans="1:16" ht="15.75" hidden="1" x14ac:dyDescent="0.25">
      <c r="A415" s="48">
        <v>414</v>
      </c>
      <c r="B415" s="49" t="s">
        <v>890</v>
      </c>
      <c r="C415" s="49" t="s">
        <v>891</v>
      </c>
      <c r="D415" s="53" t="s">
        <v>47</v>
      </c>
      <c r="E415" s="53" t="s">
        <v>56</v>
      </c>
      <c r="F415" s="45">
        <f t="shared" si="49"/>
        <v>90</v>
      </c>
      <c r="G415" s="58">
        <f t="shared" si="45"/>
        <v>1.5</v>
      </c>
      <c r="H415" s="5"/>
      <c r="I415" s="5"/>
      <c r="J415" s="5"/>
      <c r="K415" s="5"/>
      <c r="L415" s="5"/>
      <c r="N415" s="3">
        <v>30</v>
      </c>
      <c r="O415" s="3">
        <v>30</v>
      </c>
      <c r="P415" s="3">
        <v>30</v>
      </c>
    </row>
    <row r="416" spans="1:16" ht="15.75" hidden="1" x14ac:dyDescent="0.25">
      <c r="A416" s="48">
        <v>415</v>
      </c>
      <c r="B416" s="49" t="s">
        <v>892</v>
      </c>
      <c r="C416" s="49" t="s">
        <v>893</v>
      </c>
      <c r="D416" s="53" t="s">
        <v>47</v>
      </c>
      <c r="E416" s="53" t="s">
        <v>56</v>
      </c>
      <c r="F416" s="45">
        <f t="shared" si="49"/>
        <v>0</v>
      </c>
      <c r="G416" s="58">
        <f t="shared" si="45"/>
        <v>0</v>
      </c>
      <c r="H416" s="5"/>
      <c r="I416" s="5"/>
      <c r="J416" s="5"/>
      <c r="K416" s="5"/>
      <c r="L416" s="5"/>
    </row>
    <row r="417" spans="1:16" ht="15.75" hidden="1" x14ac:dyDescent="0.25">
      <c r="A417" s="48">
        <v>416</v>
      </c>
      <c r="B417" s="49" t="s">
        <v>894</v>
      </c>
      <c r="C417" s="49" t="s">
        <v>895</v>
      </c>
      <c r="D417" s="53" t="s">
        <v>47</v>
      </c>
      <c r="E417" s="53" t="s">
        <v>48</v>
      </c>
      <c r="F417" s="45">
        <f t="shared" si="49"/>
        <v>210</v>
      </c>
      <c r="G417" s="58">
        <f t="shared" si="45"/>
        <v>3.5</v>
      </c>
      <c r="H417" s="5">
        <v>90</v>
      </c>
      <c r="I417" s="5"/>
      <c r="J417" s="5"/>
      <c r="K417" s="5"/>
      <c r="L417" s="5"/>
      <c r="M417" s="3">
        <v>30</v>
      </c>
      <c r="N417" s="3">
        <v>30</v>
      </c>
      <c r="O417" s="3">
        <v>30</v>
      </c>
      <c r="P417" s="3">
        <v>30</v>
      </c>
    </row>
    <row r="418" spans="1:16" ht="15.75" hidden="1" x14ac:dyDescent="0.25">
      <c r="A418" s="48">
        <v>417</v>
      </c>
      <c r="B418" s="49" t="s">
        <v>896</v>
      </c>
      <c r="C418" s="49" t="s">
        <v>897</v>
      </c>
      <c r="D418" s="53" t="s">
        <v>47</v>
      </c>
      <c r="E418" s="53" t="s">
        <v>76</v>
      </c>
      <c r="F418" s="45">
        <f t="shared" si="49"/>
        <v>69</v>
      </c>
      <c r="G418" s="58">
        <f t="shared" si="45"/>
        <v>1.1499999999999999</v>
      </c>
      <c r="H418" s="5"/>
      <c r="I418" s="5">
        <v>69</v>
      </c>
      <c r="J418" s="5"/>
      <c r="K418" s="5"/>
      <c r="L418" s="5"/>
    </row>
    <row r="419" spans="1:16" ht="15.75" hidden="1" x14ac:dyDescent="0.25">
      <c r="A419" s="48">
        <v>418</v>
      </c>
      <c r="B419" s="49" t="s">
        <v>898</v>
      </c>
      <c r="C419" s="49" t="s">
        <v>899</v>
      </c>
      <c r="D419" s="53" t="s">
        <v>47</v>
      </c>
      <c r="E419" s="53" t="s">
        <v>56</v>
      </c>
      <c r="F419" s="45">
        <f t="shared" si="49"/>
        <v>90</v>
      </c>
      <c r="G419" s="58">
        <f t="shared" si="45"/>
        <v>1.5</v>
      </c>
      <c r="H419" s="5"/>
      <c r="I419" s="5"/>
      <c r="J419" s="5"/>
      <c r="K419" s="5"/>
      <c r="L419" s="5"/>
      <c r="M419" s="3">
        <v>30</v>
      </c>
      <c r="O419" s="3">
        <v>30</v>
      </c>
      <c r="P419" s="3">
        <v>30</v>
      </c>
    </row>
    <row r="420" spans="1:16" ht="15.75" hidden="1" x14ac:dyDescent="0.25">
      <c r="A420" s="48">
        <v>419</v>
      </c>
      <c r="B420" s="49" t="s">
        <v>900</v>
      </c>
      <c r="C420" s="49" t="s">
        <v>901</v>
      </c>
      <c r="D420" s="53" t="s">
        <v>47</v>
      </c>
      <c r="E420" s="53" t="s">
        <v>105</v>
      </c>
      <c r="F420" s="45">
        <f t="shared" si="49"/>
        <v>330</v>
      </c>
      <c r="G420" s="58">
        <f t="shared" si="45"/>
        <v>5.5</v>
      </c>
      <c r="H420" s="5"/>
      <c r="I420" s="5"/>
      <c r="J420" s="5">
        <v>60</v>
      </c>
      <c r="K420" s="5">
        <v>90</v>
      </c>
      <c r="L420" s="5">
        <v>60</v>
      </c>
      <c r="M420" s="3">
        <v>30</v>
      </c>
      <c r="N420" s="3">
        <v>30</v>
      </c>
      <c r="O420" s="3">
        <v>30</v>
      </c>
      <c r="P420" s="3">
        <v>30</v>
      </c>
    </row>
    <row r="421" spans="1:16" ht="15.75" hidden="1" x14ac:dyDescent="0.25">
      <c r="A421" s="48">
        <v>420</v>
      </c>
      <c r="B421" s="49" t="s">
        <v>902</v>
      </c>
      <c r="C421" s="49" t="s">
        <v>903</v>
      </c>
      <c r="D421" s="53" t="s">
        <v>47</v>
      </c>
      <c r="E421" s="53" t="s">
        <v>51</v>
      </c>
      <c r="F421" s="45">
        <f t="shared" si="49"/>
        <v>0</v>
      </c>
      <c r="G421" s="58">
        <f t="shared" si="45"/>
        <v>0</v>
      </c>
      <c r="H421" s="5"/>
      <c r="I421" s="5"/>
      <c r="J421" s="5"/>
      <c r="K421" s="5"/>
      <c r="L421" s="5"/>
    </row>
    <row r="422" spans="1:16" ht="15.75" hidden="1" x14ac:dyDescent="0.25">
      <c r="A422" s="48">
        <v>421</v>
      </c>
      <c r="B422" s="49" t="s">
        <v>904</v>
      </c>
      <c r="C422" s="49" t="s">
        <v>905</v>
      </c>
      <c r="D422" s="53" t="s">
        <v>47</v>
      </c>
      <c r="E422" s="53" t="s">
        <v>86</v>
      </c>
      <c r="F422" s="45">
        <f t="shared" si="49"/>
        <v>324</v>
      </c>
      <c r="G422" s="58">
        <f t="shared" si="45"/>
        <v>5.4</v>
      </c>
      <c r="H422" s="5">
        <v>90</v>
      </c>
      <c r="I422" s="5">
        <v>84</v>
      </c>
      <c r="J422" s="5"/>
      <c r="K422" s="5"/>
      <c r="L422" s="5">
        <v>60</v>
      </c>
      <c r="N422" s="3">
        <v>30</v>
      </c>
      <c r="O422" s="3">
        <v>30</v>
      </c>
      <c r="P422" s="3">
        <v>30</v>
      </c>
    </row>
    <row r="423" spans="1:16" ht="15.75" hidden="1" x14ac:dyDescent="0.25">
      <c r="A423" s="48">
        <v>422</v>
      </c>
      <c r="B423" s="49" t="s">
        <v>906</v>
      </c>
      <c r="C423" s="49" t="s">
        <v>907</v>
      </c>
      <c r="D423" s="53" t="s">
        <v>47</v>
      </c>
      <c r="E423" s="53" t="s">
        <v>56</v>
      </c>
      <c r="F423" s="45">
        <f t="shared" si="49"/>
        <v>0</v>
      </c>
      <c r="G423" s="58">
        <f t="shared" si="45"/>
        <v>0</v>
      </c>
      <c r="H423" s="5"/>
      <c r="I423" s="5"/>
      <c r="J423" s="5"/>
      <c r="K423" s="5"/>
      <c r="L423" s="5"/>
    </row>
    <row r="424" spans="1:16" ht="15.75" hidden="1" x14ac:dyDescent="0.25">
      <c r="A424" s="48">
        <v>423</v>
      </c>
      <c r="B424" s="49" t="s">
        <v>908</v>
      </c>
      <c r="C424" s="49" t="s">
        <v>909</v>
      </c>
      <c r="D424" s="53" t="s">
        <v>47</v>
      </c>
      <c r="E424" s="53" t="s">
        <v>48</v>
      </c>
      <c r="F424" s="45">
        <f t="shared" si="49"/>
        <v>352</v>
      </c>
      <c r="G424" s="58">
        <f t="shared" ref="G424:G434" si="50">F424/60</f>
        <v>5.8666666666666663</v>
      </c>
      <c r="H424" s="5"/>
      <c r="I424" s="5">
        <v>82</v>
      </c>
      <c r="J424" s="5"/>
      <c r="K424" s="5">
        <v>90</v>
      </c>
      <c r="L424" s="5">
        <v>60</v>
      </c>
      <c r="M424" s="3">
        <v>30</v>
      </c>
      <c r="N424" s="3">
        <v>30</v>
      </c>
      <c r="O424" s="3">
        <v>30</v>
      </c>
      <c r="P424" s="3">
        <v>30</v>
      </c>
    </row>
    <row r="425" spans="1:16" ht="15.75" hidden="1" x14ac:dyDescent="0.25">
      <c r="A425" s="48">
        <v>424</v>
      </c>
      <c r="B425" s="49" t="s">
        <v>910</v>
      </c>
      <c r="C425" s="49" t="s">
        <v>911</v>
      </c>
      <c r="D425" s="53" t="s">
        <v>47</v>
      </c>
      <c r="E425" s="53" t="s">
        <v>79</v>
      </c>
      <c r="F425" s="45">
        <f t="shared" si="49"/>
        <v>141</v>
      </c>
      <c r="G425" s="58">
        <f t="shared" si="50"/>
        <v>2.35</v>
      </c>
      <c r="H425" s="5"/>
      <c r="I425" s="5">
        <v>81</v>
      </c>
      <c r="J425" s="5"/>
      <c r="K425" s="5"/>
      <c r="L425" s="5">
        <v>60</v>
      </c>
    </row>
    <row r="426" spans="1:16" ht="15.75" hidden="1" x14ac:dyDescent="0.25">
      <c r="A426" s="48">
        <v>425</v>
      </c>
      <c r="B426" s="49" t="s">
        <v>912</v>
      </c>
      <c r="C426" s="49" t="s">
        <v>913</v>
      </c>
      <c r="D426" s="53" t="s">
        <v>47</v>
      </c>
      <c r="E426" s="53" t="s">
        <v>105</v>
      </c>
      <c r="F426" s="45">
        <f t="shared" si="49"/>
        <v>0</v>
      </c>
      <c r="G426" s="58">
        <f t="shared" si="50"/>
        <v>0</v>
      </c>
      <c r="H426" s="5"/>
      <c r="I426" s="5"/>
      <c r="J426" s="5"/>
      <c r="K426" s="5"/>
      <c r="L426" s="5"/>
    </row>
    <row r="427" spans="1:16" ht="15.75" hidden="1" x14ac:dyDescent="0.25">
      <c r="A427" s="48">
        <v>426</v>
      </c>
      <c r="B427" s="49" t="s">
        <v>914</v>
      </c>
      <c r="C427" s="49" t="s">
        <v>915</v>
      </c>
      <c r="D427" s="53" t="s">
        <v>47</v>
      </c>
      <c r="E427" s="53" t="s">
        <v>76</v>
      </c>
      <c r="F427" s="45">
        <f t="shared" si="49"/>
        <v>30</v>
      </c>
      <c r="G427" s="58">
        <f t="shared" si="50"/>
        <v>0.5</v>
      </c>
      <c r="H427" s="5"/>
      <c r="I427" s="5"/>
      <c r="J427" s="5"/>
      <c r="K427" s="5"/>
      <c r="L427" s="5"/>
      <c r="P427" s="3">
        <v>30</v>
      </c>
    </row>
    <row r="428" spans="1:16" ht="15.75" hidden="1" x14ac:dyDescent="0.25">
      <c r="A428" s="48">
        <v>427</v>
      </c>
      <c r="B428" s="49" t="s">
        <v>916</v>
      </c>
      <c r="C428" s="49" t="s">
        <v>917</v>
      </c>
      <c r="D428" s="53" t="s">
        <v>47</v>
      </c>
      <c r="E428" s="53" t="s">
        <v>205</v>
      </c>
      <c r="F428" s="45">
        <f t="shared" si="49"/>
        <v>0</v>
      </c>
      <c r="G428" s="58">
        <f t="shared" si="50"/>
        <v>0</v>
      </c>
      <c r="H428" s="5"/>
      <c r="I428" s="5"/>
      <c r="J428" s="5"/>
      <c r="K428" s="5"/>
      <c r="L428" s="5"/>
    </row>
    <row r="429" spans="1:16" ht="15.75" hidden="1" x14ac:dyDescent="0.25">
      <c r="A429" s="48">
        <v>428</v>
      </c>
      <c r="B429" s="49" t="s">
        <v>918</v>
      </c>
      <c r="C429" s="49" t="s">
        <v>919</v>
      </c>
      <c r="D429" s="53" t="s">
        <v>47</v>
      </c>
      <c r="E429" s="53" t="s">
        <v>86</v>
      </c>
      <c r="F429" s="45">
        <f t="shared" si="49"/>
        <v>0</v>
      </c>
      <c r="G429" s="58">
        <f t="shared" si="50"/>
        <v>0</v>
      </c>
      <c r="H429" s="5"/>
      <c r="I429" s="5"/>
      <c r="J429" s="5"/>
      <c r="K429" s="5"/>
      <c r="L429" s="5"/>
    </row>
    <row r="430" spans="1:16" ht="15.75" hidden="1" x14ac:dyDescent="0.25">
      <c r="A430" s="48">
        <v>429</v>
      </c>
      <c r="B430" s="49" t="s">
        <v>920</v>
      </c>
      <c r="C430" s="49" t="s">
        <v>921</v>
      </c>
      <c r="D430" s="53" t="s">
        <v>47</v>
      </c>
      <c r="E430" s="53" t="s">
        <v>51</v>
      </c>
      <c r="F430" s="45">
        <f t="shared" si="49"/>
        <v>60</v>
      </c>
      <c r="G430" s="58">
        <f t="shared" si="50"/>
        <v>1</v>
      </c>
      <c r="H430" s="5"/>
      <c r="I430" s="5"/>
      <c r="J430" s="5"/>
      <c r="K430" s="5"/>
      <c r="L430" s="5"/>
      <c r="M430" s="3">
        <v>30</v>
      </c>
      <c r="P430" s="3">
        <v>30</v>
      </c>
    </row>
    <row r="431" spans="1:16" ht="15.75" hidden="1" x14ac:dyDescent="0.25">
      <c r="A431" s="48">
        <v>430</v>
      </c>
      <c r="B431" s="49" t="s">
        <v>922</v>
      </c>
      <c r="C431" s="49" t="s">
        <v>923</v>
      </c>
      <c r="D431" s="53" t="s">
        <v>47</v>
      </c>
      <c r="E431" s="53" t="s">
        <v>105</v>
      </c>
      <c r="F431" s="45">
        <f t="shared" si="49"/>
        <v>0</v>
      </c>
      <c r="G431" s="58">
        <f t="shared" si="50"/>
        <v>0</v>
      </c>
      <c r="H431" s="5"/>
      <c r="I431" s="5"/>
      <c r="J431" s="5"/>
      <c r="K431" s="5"/>
      <c r="L431" s="5"/>
    </row>
    <row r="432" spans="1:16" ht="15.75" hidden="1" x14ac:dyDescent="0.25">
      <c r="A432" s="48">
        <v>431</v>
      </c>
      <c r="B432" s="49" t="s">
        <v>924</v>
      </c>
      <c r="C432" s="49" t="s">
        <v>925</v>
      </c>
      <c r="D432" s="53" t="s">
        <v>47</v>
      </c>
      <c r="E432" s="53" t="s">
        <v>51</v>
      </c>
      <c r="F432" s="45">
        <f t="shared" si="49"/>
        <v>60</v>
      </c>
      <c r="G432" s="58">
        <f t="shared" si="50"/>
        <v>1</v>
      </c>
      <c r="H432" s="5"/>
      <c r="I432" s="5"/>
      <c r="J432" s="5"/>
      <c r="K432" s="5"/>
      <c r="L432" s="5">
        <v>60</v>
      </c>
    </row>
    <row r="433" spans="1:16" ht="15.75" hidden="1" x14ac:dyDescent="0.25">
      <c r="A433" s="48">
        <v>432</v>
      </c>
      <c r="B433" s="49" t="s">
        <v>926</v>
      </c>
      <c r="C433" s="49" t="s">
        <v>927</v>
      </c>
      <c r="D433" s="53" t="s">
        <v>47</v>
      </c>
      <c r="E433" s="53" t="s">
        <v>48</v>
      </c>
      <c r="F433" s="45">
        <f t="shared" si="49"/>
        <v>28</v>
      </c>
      <c r="G433" s="58">
        <f t="shared" si="50"/>
        <v>0.46666666666666667</v>
      </c>
      <c r="H433" s="5"/>
      <c r="I433" s="5">
        <v>28</v>
      </c>
      <c r="J433" s="5"/>
      <c r="K433" s="5"/>
      <c r="L433" s="5"/>
    </row>
    <row r="434" spans="1:16" ht="15.75" hidden="1" x14ac:dyDescent="0.25">
      <c r="A434" s="48">
        <v>433</v>
      </c>
      <c r="B434" s="49" t="s">
        <v>928</v>
      </c>
      <c r="C434" s="49" t="s">
        <v>929</v>
      </c>
      <c r="D434" s="53" t="s">
        <v>47</v>
      </c>
      <c r="E434" s="53" t="s">
        <v>76</v>
      </c>
      <c r="F434" s="45">
        <f t="shared" si="49"/>
        <v>90</v>
      </c>
      <c r="G434" s="58">
        <f t="shared" si="50"/>
        <v>1.5</v>
      </c>
      <c r="H434" s="5"/>
      <c r="I434" s="5"/>
      <c r="J434" s="5"/>
      <c r="K434" s="5"/>
      <c r="L434" s="5">
        <v>60</v>
      </c>
      <c r="O434" s="3">
        <v>30</v>
      </c>
    </row>
    <row r="435" spans="1:16" ht="15.75" hidden="1" x14ac:dyDescent="0.25">
      <c r="A435" s="48">
        <v>434</v>
      </c>
      <c r="B435" s="49" t="s">
        <v>930</v>
      </c>
      <c r="C435" s="49" t="s">
        <v>931</v>
      </c>
      <c r="D435" s="53" t="s">
        <v>123</v>
      </c>
      <c r="E435" s="53" t="s">
        <v>123</v>
      </c>
      <c r="F435" s="45">
        <f t="shared" si="48"/>
        <v>0</v>
      </c>
      <c r="G435" s="57"/>
      <c r="H435" s="5"/>
      <c r="I435" s="5"/>
      <c r="J435" s="5"/>
      <c r="K435" s="5"/>
      <c r="L435" s="5"/>
      <c r="M435"/>
      <c r="N435"/>
      <c r="O435"/>
      <c r="P435"/>
    </row>
    <row r="436" spans="1:16" ht="15.75" hidden="1" x14ac:dyDescent="0.25">
      <c r="A436" s="48">
        <v>435</v>
      </c>
      <c r="B436" s="49" t="s">
        <v>932</v>
      </c>
      <c r="C436" s="49" t="s">
        <v>933</v>
      </c>
      <c r="D436" s="53" t="s">
        <v>47</v>
      </c>
      <c r="E436" s="53" t="s">
        <v>48</v>
      </c>
      <c r="F436" s="45">
        <f t="shared" ref="F436:F443" si="51">SUM($H436:$P436)</f>
        <v>0</v>
      </c>
      <c r="G436" s="58">
        <f t="shared" ref="G436:G443" si="52">F436/60</f>
        <v>0</v>
      </c>
      <c r="H436" s="5"/>
      <c r="I436" s="5"/>
      <c r="J436" s="5"/>
      <c r="K436" s="5"/>
      <c r="L436" s="5"/>
    </row>
    <row r="437" spans="1:16" ht="15.75" hidden="1" x14ac:dyDescent="0.25">
      <c r="A437" s="48">
        <v>436</v>
      </c>
      <c r="B437" s="49" t="s">
        <v>934</v>
      </c>
      <c r="C437" s="49" t="s">
        <v>935</v>
      </c>
      <c r="D437" s="53" t="s">
        <v>47</v>
      </c>
      <c r="E437" s="53" t="s">
        <v>48</v>
      </c>
      <c r="F437" s="45">
        <f t="shared" si="51"/>
        <v>0</v>
      </c>
      <c r="G437" s="58">
        <f t="shared" si="52"/>
        <v>0</v>
      </c>
      <c r="H437" s="5"/>
      <c r="I437" s="5"/>
      <c r="J437" s="5"/>
      <c r="K437" s="5"/>
      <c r="L437" s="5"/>
    </row>
    <row r="438" spans="1:16" ht="15.75" hidden="1" x14ac:dyDescent="0.25">
      <c r="A438" s="48">
        <v>437</v>
      </c>
      <c r="B438" s="49" t="s">
        <v>936</v>
      </c>
      <c r="C438" s="49" t="s">
        <v>937</v>
      </c>
      <c r="D438" s="53" t="s">
        <v>47</v>
      </c>
      <c r="E438" s="53" t="s">
        <v>61</v>
      </c>
      <c r="F438" s="45">
        <f t="shared" si="51"/>
        <v>63</v>
      </c>
      <c r="G438" s="58">
        <f t="shared" si="52"/>
        <v>1.05</v>
      </c>
      <c r="H438" s="5"/>
      <c r="I438" s="5">
        <v>63</v>
      </c>
      <c r="J438" s="5"/>
      <c r="K438" s="5"/>
      <c r="L438" s="5"/>
    </row>
    <row r="439" spans="1:16" ht="15.75" hidden="1" x14ac:dyDescent="0.25">
      <c r="A439" s="48">
        <v>438</v>
      </c>
      <c r="B439" s="49" t="s">
        <v>938</v>
      </c>
      <c r="C439" s="49" t="s">
        <v>939</v>
      </c>
      <c r="D439" s="53" t="s">
        <v>47</v>
      </c>
      <c r="E439" s="53" t="s">
        <v>61</v>
      </c>
      <c r="F439" s="45">
        <f t="shared" si="51"/>
        <v>90</v>
      </c>
      <c r="G439" s="58">
        <f t="shared" si="52"/>
        <v>1.5</v>
      </c>
      <c r="H439" s="5"/>
      <c r="I439" s="5"/>
      <c r="J439" s="5"/>
      <c r="K439" s="5"/>
      <c r="L439" s="5"/>
      <c r="N439" s="3">
        <v>30</v>
      </c>
      <c r="O439" s="3">
        <v>30</v>
      </c>
      <c r="P439" s="3">
        <v>30</v>
      </c>
    </row>
    <row r="440" spans="1:16" ht="15.75" hidden="1" x14ac:dyDescent="0.25">
      <c r="A440" s="48">
        <v>439</v>
      </c>
      <c r="B440" s="49" t="s">
        <v>940</v>
      </c>
      <c r="C440" s="49" t="s">
        <v>941</v>
      </c>
      <c r="D440" s="53" t="s">
        <v>47</v>
      </c>
      <c r="E440" s="53" t="s">
        <v>86</v>
      </c>
      <c r="F440" s="45">
        <f t="shared" si="51"/>
        <v>90</v>
      </c>
      <c r="G440" s="58">
        <f t="shared" si="52"/>
        <v>1.5</v>
      </c>
      <c r="H440" s="5"/>
      <c r="I440" s="5"/>
      <c r="J440" s="5"/>
      <c r="K440" s="5"/>
      <c r="L440" s="5"/>
      <c r="N440" s="3">
        <v>30</v>
      </c>
      <c r="O440" s="3">
        <v>30</v>
      </c>
      <c r="P440" s="3">
        <v>30</v>
      </c>
    </row>
    <row r="441" spans="1:16" ht="15.75" hidden="1" x14ac:dyDescent="0.25">
      <c r="A441" s="48">
        <v>440</v>
      </c>
      <c r="B441" s="49" t="s">
        <v>942</v>
      </c>
      <c r="C441" s="49" t="s">
        <v>943</v>
      </c>
      <c r="D441" s="53" t="s">
        <v>47</v>
      </c>
      <c r="E441" s="53" t="s">
        <v>48</v>
      </c>
      <c r="F441" s="45">
        <f t="shared" si="51"/>
        <v>210</v>
      </c>
      <c r="G441" s="58">
        <f t="shared" si="52"/>
        <v>3.5</v>
      </c>
      <c r="H441" s="5">
        <v>90</v>
      </c>
      <c r="I441" s="5"/>
      <c r="J441" s="5"/>
      <c r="K441" s="5">
        <v>90</v>
      </c>
      <c r="L441" s="5"/>
      <c r="P441" s="3">
        <v>30</v>
      </c>
    </row>
    <row r="442" spans="1:16" ht="15.75" hidden="1" x14ac:dyDescent="0.25">
      <c r="A442" s="48">
        <v>441</v>
      </c>
      <c r="B442" s="49" t="s">
        <v>944</v>
      </c>
      <c r="C442" s="49" t="s">
        <v>945</v>
      </c>
      <c r="D442" s="53" t="s">
        <v>47</v>
      </c>
      <c r="E442" s="53" t="s">
        <v>79</v>
      </c>
      <c r="F442" s="45">
        <f t="shared" si="51"/>
        <v>30</v>
      </c>
      <c r="G442" s="58">
        <f t="shared" si="52"/>
        <v>0.5</v>
      </c>
      <c r="H442" s="5"/>
      <c r="I442" s="5"/>
      <c r="J442" s="5"/>
      <c r="K442" s="5"/>
      <c r="L442" s="5"/>
      <c r="N442" s="3">
        <v>30</v>
      </c>
    </row>
    <row r="443" spans="1:16" ht="15.75" hidden="1" x14ac:dyDescent="0.25">
      <c r="A443" s="48">
        <v>442</v>
      </c>
      <c r="B443" s="49" t="s">
        <v>946</v>
      </c>
      <c r="C443" s="49" t="s">
        <v>947</v>
      </c>
      <c r="D443" s="53" t="s">
        <v>47</v>
      </c>
      <c r="E443" s="53" t="s">
        <v>76</v>
      </c>
      <c r="F443" s="45">
        <f t="shared" si="51"/>
        <v>90</v>
      </c>
      <c r="G443" s="58">
        <f t="shared" si="52"/>
        <v>1.5</v>
      </c>
      <c r="H443" s="5"/>
      <c r="I443" s="5"/>
      <c r="J443" s="5"/>
      <c r="K443" s="5"/>
      <c r="L443" s="5"/>
      <c r="N443" s="3">
        <v>30</v>
      </c>
      <c r="O443" s="3">
        <v>30</v>
      </c>
      <c r="P443" s="3">
        <v>30</v>
      </c>
    </row>
    <row r="444" spans="1:16" ht="15.75" hidden="1" x14ac:dyDescent="0.25">
      <c r="A444" s="48">
        <v>443</v>
      </c>
      <c r="B444" s="49" t="s">
        <v>948</v>
      </c>
      <c r="C444" s="49" t="s">
        <v>949</v>
      </c>
      <c r="D444" s="53" t="s">
        <v>123</v>
      </c>
      <c r="E444" s="53" t="s">
        <v>123</v>
      </c>
      <c r="F444" s="45">
        <f t="shared" si="48"/>
        <v>0</v>
      </c>
      <c r="G444" s="57"/>
      <c r="H444" s="5"/>
      <c r="I444" s="5"/>
      <c r="J444" s="5"/>
      <c r="K444" s="5"/>
      <c r="L444" s="5"/>
      <c r="M444"/>
      <c r="N444"/>
      <c r="O444"/>
      <c r="P444"/>
    </row>
    <row r="445" spans="1:16" ht="15.75" hidden="1" x14ac:dyDescent="0.25">
      <c r="A445" s="48">
        <v>444</v>
      </c>
      <c r="B445" s="49" t="s">
        <v>950</v>
      </c>
      <c r="C445" s="49" t="s">
        <v>951</v>
      </c>
      <c r="D445" s="53" t="s">
        <v>47</v>
      </c>
      <c r="E445" s="53" t="s">
        <v>86</v>
      </c>
      <c r="F445" s="45">
        <f t="shared" ref="F445:F447" si="53">SUM($H445:$P445)</f>
        <v>360</v>
      </c>
      <c r="G445" s="58">
        <f t="shared" ref="G445:G465" si="54">F445/60</f>
        <v>6</v>
      </c>
      <c r="H445" s="5">
        <v>90</v>
      </c>
      <c r="I445" s="5"/>
      <c r="J445" s="5"/>
      <c r="K445" s="5">
        <v>90</v>
      </c>
      <c r="L445" s="5">
        <v>60</v>
      </c>
      <c r="M445" s="3">
        <v>30</v>
      </c>
      <c r="N445" s="3">
        <v>30</v>
      </c>
      <c r="O445" s="3">
        <v>30</v>
      </c>
      <c r="P445" s="3">
        <v>30</v>
      </c>
    </row>
    <row r="446" spans="1:16" ht="15.75" hidden="1" x14ac:dyDescent="0.25">
      <c r="A446" s="48">
        <v>445</v>
      </c>
      <c r="B446" s="49" t="s">
        <v>952</v>
      </c>
      <c r="C446" s="49" t="s">
        <v>953</v>
      </c>
      <c r="D446" s="53" t="s">
        <v>47</v>
      </c>
      <c r="E446" s="53" t="s">
        <v>105</v>
      </c>
      <c r="F446" s="45">
        <f t="shared" si="53"/>
        <v>0</v>
      </c>
      <c r="G446" s="58">
        <f t="shared" si="54"/>
        <v>0</v>
      </c>
      <c r="H446" s="5"/>
      <c r="I446" s="5"/>
      <c r="J446" s="5"/>
      <c r="K446" s="5"/>
      <c r="L446" s="5"/>
    </row>
    <row r="447" spans="1:16" ht="15.75" hidden="1" x14ac:dyDescent="0.25">
      <c r="A447" s="48">
        <v>446</v>
      </c>
      <c r="B447" s="49" t="s">
        <v>954</v>
      </c>
      <c r="C447" s="49" t="s">
        <v>955</v>
      </c>
      <c r="D447" s="53" t="s">
        <v>47</v>
      </c>
      <c r="E447" s="53" t="s">
        <v>79</v>
      </c>
      <c r="F447" s="45">
        <f t="shared" si="53"/>
        <v>236</v>
      </c>
      <c r="G447" s="58">
        <f t="shared" si="54"/>
        <v>3.9333333333333331</v>
      </c>
      <c r="H447" s="5">
        <v>90</v>
      </c>
      <c r="I447" s="5">
        <v>56</v>
      </c>
      <c r="J447" s="5"/>
      <c r="K447" s="5">
        <v>90</v>
      </c>
      <c r="L447" s="5"/>
    </row>
    <row r="448" spans="1:16" ht="15.75" hidden="1" x14ac:dyDescent="0.25">
      <c r="A448" s="48">
        <v>447</v>
      </c>
      <c r="B448" s="49" t="s">
        <v>956</v>
      </c>
      <c r="C448" s="49" t="s">
        <v>957</v>
      </c>
      <c r="D448" s="53" t="s">
        <v>64</v>
      </c>
      <c r="E448" s="53" t="s">
        <v>65</v>
      </c>
      <c r="F448" s="45">
        <f t="shared" si="48"/>
        <v>0</v>
      </c>
      <c r="G448" s="58">
        <f t="shared" si="54"/>
        <v>0</v>
      </c>
      <c r="H448" s="5"/>
      <c r="I448" s="5"/>
      <c r="J448" s="5"/>
      <c r="K448" s="5"/>
      <c r="L448" s="5"/>
    </row>
    <row r="449" spans="1:16" ht="15.75" hidden="1" x14ac:dyDescent="0.25">
      <c r="A449" s="48">
        <v>448</v>
      </c>
      <c r="B449" s="49" t="s">
        <v>958</v>
      </c>
      <c r="C449" s="49" t="s">
        <v>959</v>
      </c>
      <c r="D449" s="53" t="s">
        <v>47</v>
      </c>
      <c r="E449" s="53" t="s">
        <v>51</v>
      </c>
      <c r="F449" s="45">
        <f t="shared" ref="F449:F451" si="55">SUM($H449:$P449)</f>
        <v>0</v>
      </c>
      <c r="G449" s="58">
        <f t="shared" si="54"/>
        <v>0</v>
      </c>
      <c r="H449" s="5"/>
      <c r="I449" s="5"/>
      <c r="J449" s="5"/>
      <c r="K449" s="5"/>
      <c r="L449" s="5"/>
    </row>
    <row r="450" spans="1:16" ht="15.75" hidden="1" x14ac:dyDescent="0.25">
      <c r="A450" s="48">
        <v>449</v>
      </c>
      <c r="B450" s="49" t="s">
        <v>960</v>
      </c>
      <c r="C450" s="49" t="s">
        <v>961</v>
      </c>
      <c r="D450" s="53" t="s">
        <v>47</v>
      </c>
      <c r="E450" s="53" t="s">
        <v>48</v>
      </c>
      <c r="F450" s="45">
        <f t="shared" si="55"/>
        <v>288</v>
      </c>
      <c r="G450" s="58">
        <f t="shared" si="54"/>
        <v>4.8</v>
      </c>
      <c r="H450" s="5">
        <v>90</v>
      </c>
      <c r="I450" s="5">
        <v>78</v>
      </c>
      <c r="J450" s="5"/>
      <c r="K450" s="5"/>
      <c r="L450" s="5"/>
      <c r="M450" s="3">
        <v>30</v>
      </c>
      <c r="N450" s="3">
        <v>30</v>
      </c>
      <c r="O450" s="3">
        <v>30</v>
      </c>
      <c r="P450" s="3">
        <v>30</v>
      </c>
    </row>
    <row r="451" spans="1:16" ht="15.75" hidden="1" x14ac:dyDescent="0.25">
      <c r="A451" s="48">
        <v>450</v>
      </c>
      <c r="B451" s="49" t="s">
        <v>962</v>
      </c>
      <c r="C451" s="49" t="s">
        <v>963</v>
      </c>
      <c r="D451" s="53" t="s">
        <v>47</v>
      </c>
      <c r="E451" s="53" t="s">
        <v>105</v>
      </c>
      <c r="F451" s="45">
        <f t="shared" si="55"/>
        <v>0</v>
      </c>
      <c r="G451" s="58">
        <f t="shared" si="54"/>
        <v>0</v>
      </c>
      <c r="H451" s="5"/>
      <c r="I451" s="5"/>
      <c r="J451" s="5"/>
      <c r="K451" s="5"/>
      <c r="L451" s="5"/>
    </row>
    <row r="452" spans="1:16" ht="15.75" hidden="1" x14ac:dyDescent="0.25">
      <c r="A452" s="48">
        <v>451</v>
      </c>
      <c r="B452" s="49" t="s">
        <v>964</v>
      </c>
      <c r="C452" s="49" t="s">
        <v>965</v>
      </c>
      <c r="D452" s="53" t="s">
        <v>64</v>
      </c>
      <c r="E452" s="53" t="s">
        <v>65</v>
      </c>
      <c r="F452" s="45">
        <f t="shared" ref="F452:F506" si="56">SUM($H452:$K452)</f>
        <v>0</v>
      </c>
      <c r="G452" s="58">
        <f t="shared" si="54"/>
        <v>0</v>
      </c>
      <c r="H452" s="5"/>
      <c r="I452" s="5"/>
      <c r="J452" s="5"/>
      <c r="K452" s="5"/>
      <c r="L452" s="5"/>
    </row>
    <row r="453" spans="1:16" ht="15.75" hidden="1" x14ac:dyDescent="0.25">
      <c r="A453" s="48">
        <v>452</v>
      </c>
      <c r="B453" s="49" t="s">
        <v>966</v>
      </c>
      <c r="C453" s="49" t="s">
        <v>967</v>
      </c>
      <c r="D453" s="53" t="s">
        <v>47</v>
      </c>
      <c r="E453" s="53" t="s">
        <v>51</v>
      </c>
      <c r="F453" s="45">
        <f t="shared" ref="F453:F465" si="57">SUM($H453:$P453)</f>
        <v>30</v>
      </c>
      <c r="G453" s="58">
        <f t="shared" si="54"/>
        <v>0.5</v>
      </c>
      <c r="H453" s="5"/>
      <c r="I453" s="5"/>
      <c r="J453" s="5"/>
      <c r="K453" s="5"/>
      <c r="L453" s="5"/>
      <c r="N453" s="3">
        <v>30</v>
      </c>
    </row>
    <row r="454" spans="1:16" ht="15.75" hidden="1" x14ac:dyDescent="0.25">
      <c r="A454" s="48">
        <v>453</v>
      </c>
      <c r="B454" s="49" t="s">
        <v>968</v>
      </c>
      <c r="C454" s="49" t="s">
        <v>969</v>
      </c>
      <c r="D454" s="53" t="s">
        <v>47</v>
      </c>
      <c r="E454" s="53" t="s">
        <v>48</v>
      </c>
      <c r="F454" s="45">
        <f t="shared" si="57"/>
        <v>0</v>
      </c>
      <c r="G454" s="58">
        <f t="shared" si="54"/>
        <v>0</v>
      </c>
      <c r="H454" s="5"/>
      <c r="I454" s="5"/>
      <c r="J454" s="5"/>
      <c r="K454" s="5"/>
      <c r="L454" s="5"/>
    </row>
    <row r="455" spans="1:16" ht="15.75" hidden="1" x14ac:dyDescent="0.25">
      <c r="A455" s="48">
        <v>454</v>
      </c>
      <c r="B455" s="49" t="s">
        <v>970</v>
      </c>
      <c r="C455" s="49" t="s">
        <v>971</v>
      </c>
      <c r="D455" s="53" t="s">
        <v>47</v>
      </c>
      <c r="E455" s="53" t="s">
        <v>56</v>
      </c>
      <c r="F455" s="45">
        <f t="shared" si="57"/>
        <v>210</v>
      </c>
      <c r="G455" s="58">
        <f t="shared" si="54"/>
        <v>3.5</v>
      </c>
      <c r="H455" s="5"/>
      <c r="I455" s="5"/>
      <c r="J455" s="5"/>
      <c r="K455" s="5">
        <v>90</v>
      </c>
      <c r="L455" s="5">
        <v>60</v>
      </c>
      <c r="N455" s="3">
        <v>30</v>
      </c>
      <c r="O455" s="5">
        <v>30</v>
      </c>
    </row>
    <row r="456" spans="1:16" ht="15.75" hidden="1" x14ac:dyDescent="0.25">
      <c r="A456" s="48">
        <v>455</v>
      </c>
      <c r="B456" s="49" t="s">
        <v>972</v>
      </c>
      <c r="C456" s="49" t="s">
        <v>973</v>
      </c>
      <c r="D456" s="53" t="s">
        <v>47</v>
      </c>
      <c r="E456" s="53" t="s">
        <v>48</v>
      </c>
      <c r="F456" s="45">
        <f t="shared" si="57"/>
        <v>0</v>
      </c>
      <c r="G456" s="58">
        <f t="shared" si="54"/>
        <v>0</v>
      </c>
      <c r="H456" s="5"/>
      <c r="I456" s="5"/>
      <c r="J456" s="5"/>
      <c r="K456" s="5"/>
      <c r="L456" s="5"/>
    </row>
    <row r="457" spans="1:16" ht="15.75" hidden="1" x14ac:dyDescent="0.25">
      <c r="A457" s="48">
        <v>456</v>
      </c>
      <c r="B457" s="49" t="s">
        <v>974</v>
      </c>
      <c r="C457" s="49" t="s">
        <v>975</v>
      </c>
      <c r="D457" s="53" t="s">
        <v>47</v>
      </c>
      <c r="E457" s="53" t="s">
        <v>51</v>
      </c>
      <c r="F457" s="45">
        <f t="shared" si="57"/>
        <v>0</v>
      </c>
      <c r="G457" s="58">
        <f t="shared" si="54"/>
        <v>0</v>
      </c>
      <c r="H457" s="5"/>
      <c r="I457" s="5"/>
      <c r="J457" s="5"/>
      <c r="K457" s="5"/>
      <c r="L457" s="5"/>
    </row>
    <row r="458" spans="1:16" ht="15.75" hidden="1" x14ac:dyDescent="0.25">
      <c r="A458" s="48">
        <v>457</v>
      </c>
      <c r="B458" s="49" t="s">
        <v>976</v>
      </c>
      <c r="C458" s="49" t="s">
        <v>977</v>
      </c>
      <c r="D458" s="53" t="s">
        <v>47</v>
      </c>
      <c r="E458" s="53" t="s">
        <v>76</v>
      </c>
      <c r="F458" s="45">
        <f t="shared" si="57"/>
        <v>0</v>
      </c>
      <c r="G458" s="58">
        <f t="shared" si="54"/>
        <v>0</v>
      </c>
      <c r="H458" s="5"/>
      <c r="I458" s="5"/>
      <c r="J458" s="5"/>
      <c r="K458" s="5"/>
      <c r="L458" s="5"/>
    </row>
    <row r="459" spans="1:16" ht="15.75" hidden="1" x14ac:dyDescent="0.25">
      <c r="A459" s="48">
        <v>458</v>
      </c>
      <c r="B459" s="49" t="s">
        <v>978</v>
      </c>
      <c r="C459" s="49" t="s">
        <v>979</v>
      </c>
      <c r="D459" s="53" t="s">
        <v>47</v>
      </c>
      <c r="E459" s="53" t="s">
        <v>61</v>
      </c>
      <c r="F459" s="45">
        <f t="shared" si="57"/>
        <v>180</v>
      </c>
      <c r="G459" s="58">
        <f t="shared" si="54"/>
        <v>3</v>
      </c>
      <c r="H459" s="5">
        <v>90</v>
      </c>
      <c r="I459" s="5"/>
      <c r="J459" s="5"/>
      <c r="K459" s="5"/>
      <c r="L459" s="5"/>
      <c r="N459" s="3">
        <v>30</v>
      </c>
      <c r="O459" s="3">
        <v>30</v>
      </c>
      <c r="P459" s="3">
        <v>30</v>
      </c>
    </row>
    <row r="460" spans="1:16" ht="15.75" hidden="1" x14ac:dyDescent="0.25">
      <c r="A460" s="48">
        <v>459</v>
      </c>
      <c r="B460" s="49" t="s">
        <v>980</v>
      </c>
      <c r="C460" s="49" t="s">
        <v>981</v>
      </c>
      <c r="D460" s="53" t="s">
        <v>47</v>
      </c>
      <c r="E460" s="53" t="s">
        <v>48</v>
      </c>
      <c r="F460" s="45">
        <f t="shared" si="57"/>
        <v>90</v>
      </c>
      <c r="G460" s="58">
        <f t="shared" si="54"/>
        <v>1.5</v>
      </c>
      <c r="H460" s="5"/>
      <c r="I460" s="5"/>
      <c r="J460" s="5"/>
      <c r="K460" s="5"/>
      <c r="L460" s="5"/>
      <c r="M460" s="3">
        <v>30</v>
      </c>
      <c r="O460" s="3">
        <v>30</v>
      </c>
      <c r="P460" s="3">
        <v>30</v>
      </c>
    </row>
    <row r="461" spans="1:16" ht="15.75" hidden="1" x14ac:dyDescent="0.25">
      <c r="A461" s="48">
        <v>460</v>
      </c>
      <c r="B461" s="49" t="s">
        <v>982</v>
      </c>
      <c r="C461" s="49" t="s">
        <v>983</v>
      </c>
      <c r="D461" s="53" t="s">
        <v>47</v>
      </c>
      <c r="E461" s="53" t="s">
        <v>984</v>
      </c>
      <c r="F461" s="45">
        <f t="shared" si="57"/>
        <v>210</v>
      </c>
      <c r="G461" s="58">
        <f t="shared" si="54"/>
        <v>3.5</v>
      </c>
      <c r="H461" s="5">
        <v>90</v>
      </c>
      <c r="I461" s="5"/>
      <c r="J461" s="5"/>
      <c r="K461" s="5"/>
      <c r="L461" s="5">
        <v>60</v>
      </c>
      <c r="N461" s="3">
        <v>30</v>
      </c>
      <c r="O461" s="3">
        <v>30</v>
      </c>
    </row>
    <row r="462" spans="1:16" ht="15.75" hidden="1" x14ac:dyDescent="0.25">
      <c r="A462" s="48">
        <v>461</v>
      </c>
      <c r="B462" s="49" t="s">
        <v>985</v>
      </c>
      <c r="C462" s="49" t="s">
        <v>986</v>
      </c>
      <c r="D462" s="53" t="s">
        <v>47</v>
      </c>
      <c r="E462" s="53" t="s">
        <v>48</v>
      </c>
      <c r="F462" s="45">
        <f t="shared" si="57"/>
        <v>30</v>
      </c>
      <c r="G462" s="58">
        <f t="shared" si="54"/>
        <v>0.5</v>
      </c>
      <c r="H462" s="5"/>
      <c r="I462" s="5"/>
      <c r="J462" s="5"/>
      <c r="K462" s="5"/>
      <c r="L462" s="5"/>
      <c r="P462" s="3">
        <v>30</v>
      </c>
    </row>
    <row r="463" spans="1:16" ht="15.75" hidden="1" x14ac:dyDescent="0.25">
      <c r="A463" s="48">
        <v>462</v>
      </c>
      <c r="B463" s="49" t="s">
        <v>987</v>
      </c>
      <c r="C463" s="49" t="s">
        <v>988</v>
      </c>
      <c r="D463" s="53" t="s">
        <v>47</v>
      </c>
      <c r="E463" s="53" t="s">
        <v>48</v>
      </c>
      <c r="F463" s="45">
        <f t="shared" si="57"/>
        <v>30</v>
      </c>
      <c r="G463" s="58">
        <f t="shared" si="54"/>
        <v>0.5</v>
      </c>
      <c r="H463" s="5"/>
      <c r="I463" s="5"/>
      <c r="J463" s="5"/>
      <c r="K463" s="5"/>
      <c r="L463" s="5"/>
      <c r="P463" s="3">
        <v>30</v>
      </c>
    </row>
    <row r="464" spans="1:16" ht="15.75" hidden="1" x14ac:dyDescent="0.25">
      <c r="A464" s="48">
        <v>463</v>
      </c>
      <c r="B464" s="49" t="s">
        <v>989</v>
      </c>
      <c r="C464" s="49" t="s">
        <v>990</v>
      </c>
      <c r="D464" s="53" t="s">
        <v>47</v>
      </c>
      <c r="E464" s="53" t="s">
        <v>76</v>
      </c>
      <c r="F464" s="45">
        <f t="shared" si="57"/>
        <v>0</v>
      </c>
      <c r="G464" s="58">
        <f t="shared" si="54"/>
        <v>0</v>
      </c>
      <c r="H464" s="5"/>
      <c r="I464" s="5"/>
      <c r="J464" s="5"/>
      <c r="K464" s="5"/>
      <c r="L464" s="5"/>
    </row>
    <row r="465" spans="1:16" ht="15.75" hidden="1" x14ac:dyDescent="0.25">
      <c r="A465" s="48">
        <v>464</v>
      </c>
      <c r="B465" s="49" t="s">
        <v>991</v>
      </c>
      <c r="C465" s="49" t="s">
        <v>992</v>
      </c>
      <c r="D465" s="53" t="s">
        <v>47</v>
      </c>
      <c r="E465" s="53" t="s">
        <v>76</v>
      </c>
      <c r="F465" s="45">
        <f t="shared" si="57"/>
        <v>150</v>
      </c>
      <c r="G465" s="58">
        <f t="shared" si="54"/>
        <v>2.5</v>
      </c>
      <c r="H465" s="5">
        <v>90</v>
      </c>
      <c r="I465" s="5"/>
      <c r="J465" s="5"/>
      <c r="K465" s="5"/>
      <c r="L465" s="5"/>
      <c r="N465" s="3">
        <v>30</v>
      </c>
      <c r="P465" s="3">
        <v>30</v>
      </c>
    </row>
    <row r="466" spans="1:16" ht="15.75" hidden="1" x14ac:dyDescent="0.25">
      <c r="A466" s="48">
        <v>465</v>
      </c>
      <c r="B466" s="49" t="s">
        <v>993</v>
      </c>
      <c r="C466" s="49" t="s">
        <v>994</v>
      </c>
      <c r="D466" s="53" t="s">
        <v>123</v>
      </c>
      <c r="E466" s="53" t="s">
        <v>123</v>
      </c>
      <c r="F466" s="45">
        <f t="shared" si="56"/>
        <v>0</v>
      </c>
      <c r="G466" s="57"/>
      <c r="H466" s="5"/>
      <c r="I466" s="5"/>
      <c r="J466" s="5"/>
      <c r="K466" s="5"/>
      <c r="L466" s="5"/>
      <c r="M466"/>
      <c r="N466"/>
      <c r="O466"/>
      <c r="P466"/>
    </row>
    <row r="467" spans="1:16" ht="15.75" hidden="1" x14ac:dyDescent="0.25">
      <c r="A467" s="48">
        <v>466</v>
      </c>
      <c r="B467" s="49" t="s">
        <v>995</v>
      </c>
      <c r="C467" s="49" t="s">
        <v>996</v>
      </c>
      <c r="D467" s="53" t="s">
        <v>47</v>
      </c>
      <c r="E467" s="53" t="s">
        <v>86</v>
      </c>
      <c r="F467" s="45">
        <f t="shared" ref="F467:F477" si="58">SUM($H467:$P467)</f>
        <v>353</v>
      </c>
      <c r="G467" s="58">
        <f t="shared" ref="G467:G518" si="59">F467/60</f>
        <v>5.8833333333333337</v>
      </c>
      <c r="H467" s="5">
        <v>90</v>
      </c>
      <c r="I467" s="5">
        <v>83</v>
      </c>
      <c r="J467" s="5"/>
      <c r="K467" s="5"/>
      <c r="L467" s="5">
        <v>60</v>
      </c>
      <c r="M467" s="3">
        <v>30</v>
      </c>
      <c r="N467" s="3">
        <v>30</v>
      </c>
      <c r="O467" s="3">
        <v>30</v>
      </c>
      <c r="P467" s="3">
        <v>30</v>
      </c>
    </row>
    <row r="468" spans="1:16" ht="15.75" hidden="1" x14ac:dyDescent="0.25">
      <c r="A468" s="48">
        <v>467</v>
      </c>
      <c r="B468" s="49" t="s">
        <v>997</v>
      </c>
      <c r="C468" s="49" t="s">
        <v>998</v>
      </c>
      <c r="D468" s="53" t="s">
        <v>47</v>
      </c>
      <c r="E468" s="53" t="s">
        <v>48</v>
      </c>
      <c r="F468" s="45">
        <f t="shared" si="58"/>
        <v>203</v>
      </c>
      <c r="G468" s="58">
        <f t="shared" si="59"/>
        <v>3.3833333333333333</v>
      </c>
      <c r="H468" s="5">
        <v>90</v>
      </c>
      <c r="I468" s="5">
        <v>23</v>
      </c>
      <c r="J468" s="5"/>
      <c r="K468" s="5"/>
      <c r="L468" s="5">
        <v>60</v>
      </c>
      <c r="P468" s="3">
        <v>30</v>
      </c>
    </row>
    <row r="469" spans="1:16" ht="15.75" hidden="1" x14ac:dyDescent="0.25">
      <c r="A469" s="48">
        <v>468</v>
      </c>
      <c r="B469" s="49" t="s">
        <v>999</v>
      </c>
      <c r="C469" s="49" t="s">
        <v>1000</v>
      </c>
      <c r="D469" s="53" t="s">
        <v>47</v>
      </c>
      <c r="E469" s="53" t="s">
        <v>48</v>
      </c>
      <c r="F469" s="45">
        <f t="shared" si="58"/>
        <v>411</v>
      </c>
      <c r="G469" s="58">
        <f t="shared" si="59"/>
        <v>6.85</v>
      </c>
      <c r="H469" s="5">
        <v>90</v>
      </c>
      <c r="I469" s="5">
        <v>81</v>
      </c>
      <c r="J469" s="5">
        <v>60</v>
      </c>
      <c r="K469" s="5">
        <v>90</v>
      </c>
      <c r="L469" s="5"/>
      <c r="M469" s="3">
        <v>30</v>
      </c>
      <c r="O469" s="3">
        <v>30</v>
      </c>
      <c r="P469" s="3">
        <v>30</v>
      </c>
    </row>
    <row r="470" spans="1:16" ht="15.75" hidden="1" x14ac:dyDescent="0.25">
      <c r="A470" s="48">
        <v>469</v>
      </c>
      <c r="B470" s="49" t="s">
        <v>1001</v>
      </c>
      <c r="C470" s="49" t="s">
        <v>1002</v>
      </c>
      <c r="D470" s="53" t="s">
        <v>47</v>
      </c>
      <c r="E470" s="53" t="s">
        <v>51</v>
      </c>
      <c r="F470" s="45">
        <f t="shared" si="58"/>
        <v>0</v>
      </c>
      <c r="G470" s="58">
        <f t="shared" si="59"/>
        <v>0</v>
      </c>
      <c r="H470" s="5"/>
      <c r="I470" s="5"/>
      <c r="J470" s="5"/>
      <c r="K470" s="5"/>
      <c r="L470" s="5"/>
    </row>
    <row r="471" spans="1:16" ht="15.75" hidden="1" x14ac:dyDescent="0.25">
      <c r="A471" s="48">
        <v>470</v>
      </c>
      <c r="B471" s="49" t="s">
        <v>1003</v>
      </c>
      <c r="C471" s="49" t="s">
        <v>1004</v>
      </c>
      <c r="D471" s="53" t="s">
        <v>47</v>
      </c>
      <c r="E471" s="53" t="s">
        <v>48</v>
      </c>
      <c r="F471" s="45">
        <f t="shared" si="58"/>
        <v>180</v>
      </c>
      <c r="G471" s="58">
        <f t="shared" si="59"/>
        <v>3</v>
      </c>
      <c r="H471" s="5"/>
      <c r="I471" s="5"/>
      <c r="J471" s="5"/>
      <c r="K471" s="5"/>
      <c r="L471" s="5">
        <v>60</v>
      </c>
      <c r="M471" s="3">
        <v>30</v>
      </c>
      <c r="N471" s="3">
        <v>30</v>
      </c>
      <c r="O471" s="3">
        <v>30</v>
      </c>
      <c r="P471" s="3">
        <v>30</v>
      </c>
    </row>
    <row r="472" spans="1:16" ht="15.75" hidden="1" x14ac:dyDescent="0.25">
      <c r="A472" s="48">
        <v>471</v>
      </c>
      <c r="B472" s="49" t="s">
        <v>1005</v>
      </c>
      <c r="C472" s="49" t="s">
        <v>1006</v>
      </c>
      <c r="D472" s="53" t="s">
        <v>47</v>
      </c>
      <c r="E472" s="53" t="s">
        <v>116</v>
      </c>
      <c r="F472" s="45">
        <f t="shared" si="58"/>
        <v>239</v>
      </c>
      <c r="G472" s="58">
        <f t="shared" si="59"/>
        <v>3.9833333333333334</v>
      </c>
      <c r="H472" s="5">
        <v>90</v>
      </c>
      <c r="I472" s="5">
        <v>59</v>
      </c>
      <c r="J472" s="5"/>
      <c r="K472" s="5"/>
      <c r="L472" s="5"/>
      <c r="N472" s="3">
        <v>30</v>
      </c>
      <c r="O472" s="3">
        <v>30</v>
      </c>
      <c r="P472" s="3">
        <v>30</v>
      </c>
    </row>
    <row r="473" spans="1:16" ht="15.75" hidden="1" x14ac:dyDescent="0.25">
      <c r="A473" s="48">
        <v>472</v>
      </c>
      <c r="B473" s="49" t="s">
        <v>1007</v>
      </c>
      <c r="C473" s="49" t="s">
        <v>1008</v>
      </c>
      <c r="D473" s="53" t="s">
        <v>47</v>
      </c>
      <c r="E473" s="53" t="s">
        <v>51</v>
      </c>
      <c r="F473" s="45">
        <f t="shared" si="58"/>
        <v>0</v>
      </c>
      <c r="G473" s="58">
        <f t="shared" si="59"/>
        <v>0</v>
      </c>
      <c r="H473" s="5"/>
      <c r="I473" s="5"/>
      <c r="J473" s="5"/>
      <c r="K473" s="5"/>
      <c r="L473" s="5"/>
    </row>
    <row r="474" spans="1:16" ht="15.75" hidden="1" x14ac:dyDescent="0.25">
      <c r="A474" s="48">
        <v>473</v>
      </c>
      <c r="B474" s="49" t="s">
        <v>1009</v>
      </c>
      <c r="C474" s="49" t="s">
        <v>1010</v>
      </c>
      <c r="D474" s="53" t="s">
        <v>47</v>
      </c>
      <c r="E474" s="53" t="s">
        <v>105</v>
      </c>
      <c r="F474" s="45">
        <f t="shared" si="58"/>
        <v>0</v>
      </c>
      <c r="G474" s="58">
        <f t="shared" si="59"/>
        <v>0</v>
      </c>
      <c r="H474" s="5"/>
      <c r="I474" s="5"/>
      <c r="J474" s="5"/>
      <c r="K474" s="5"/>
      <c r="L474" s="5"/>
    </row>
    <row r="475" spans="1:16" ht="15.75" hidden="1" x14ac:dyDescent="0.25">
      <c r="A475" s="48">
        <v>474</v>
      </c>
      <c r="B475" s="49" t="s">
        <v>1011</v>
      </c>
      <c r="C475" s="49" t="s">
        <v>1012</v>
      </c>
      <c r="D475" s="53" t="s">
        <v>47</v>
      </c>
      <c r="E475" s="53" t="s">
        <v>76</v>
      </c>
      <c r="F475" s="45">
        <f t="shared" si="58"/>
        <v>90</v>
      </c>
      <c r="G475" s="58">
        <f t="shared" si="59"/>
        <v>1.5</v>
      </c>
      <c r="H475" s="5"/>
      <c r="I475" s="5"/>
      <c r="J475" s="5"/>
      <c r="K475" s="5"/>
      <c r="L475" s="5"/>
      <c r="N475" s="3">
        <v>30</v>
      </c>
      <c r="O475" s="3">
        <v>30</v>
      </c>
      <c r="P475" s="3">
        <v>30</v>
      </c>
    </row>
    <row r="476" spans="1:16" ht="15.75" hidden="1" x14ac:dyDescent="0.25">
      <c r="A476" s="48">
        <v>475</v>
      </c>
      <c r="B476" s="49" t="s">
        <v>1013</v>
      </c>
      <c r="C476" s="49" t="s">
        <v>1014</v>
      </c>
      <c r="D476" s="53" t="s">
        <v>47</v>
      </c>
      <c r="E476" s="53" t="s">
        <v>76</v>
      </c>
      <c r="F476" s="45">
        <f t="shared" si="58"/>
        <v>0</v>
      </c>
      <c r="G476" s="58">
        <f t="shared" si="59"/>
        <v>0</v>
      </c>
      <c r="H476" s="5"/>
      <c r="I476" s="5"/>
      <c r="J476" s="5"/>
      <c r="K476" s="5"/>
      <c r="L476" s="5"/>
    </row>
    <row r="477" spans="1:16" ht="15.75" hidden="1" x14ac:dyDescent="0.25">
      <c r="A477" s="48">
        <v>476</v>
      </c>
      <c r="B477" s="49" t="s">
        <v>1015</v>
      </c>
      <c r="C477" s="49" t="s">
        <v>1016</v>
      </c>
      <c r="D477" s="53" t="s">
        <v>47</v>
      </c>
      <c r="E477" s="53" t="s">
        <v>116</v>
      </c>
      <c r="F477" s="45">
        <f t="shared" si="58"/>
        <v>0</v>
      </c>
      <c r="G477" s="58">
        <f t="shared" si="59"/>
        <v>0</v>
      </c>
      <c r="H477" s="5"/>
      <c r="I477" s="5"/>
      <c r="J477" s="5"/>
      <c r="K477" s="5"/>
      <c r="L477" s="5"/>
    </row>
    <row r="478" spans="1:16" ht="15.75" hidden="1" x14ac:dyDescent="0.25">
      <c r="A478" s="48">
        <v>477</v>
      </c>
      <c r="B478" s="49" t="s">
        <v>1017</v>
      </c>
      <c r="C478" s="49" t="s">
        <v>1018</v>
      </c>
      <c r="D478" s="53" t="s">
        <v>64</v>
      </c>
      <c r="E478" s="53" t="s">
        <v>65</v>
      </c>
      <c r="F478" s="45">
        <f t="shared" si="56"/>
        <v>0</v>
      </c>
      <c r="G478" s="58">
        <f t="shared" si="59"/>
        <v>0</v>
      </c>
      <c r="H478" s="5"/>
      <c r="I478" s="5"/>
      <c r="J478" s="5"/>
      <c r="K478" s="5"/>
      <c r="L478" s="5"/>
    </row>
    <row r="479" spans="1:16" ht="15.75" hidden="1" x14ac:dyDescent="0.25">
      <c r="A479" s="48">
        <v>478</v>
      </c>
      <c r="B479" s="49" t="s">
        <v>1019</v>
      </c>
      <c r="C479" s="49" t="s">
        <v>1020</v>
      </c>
      <c r="D479" s="53" t="s">
        <v>47</v>
      </c>
      <c r="E479" s="53" t="s">
        <v>105</v>
      </c>
      <c r="F479" s="45">
        <f t="shared" ref="F479:F486" si="60">SUM($H479:$P479)</f>
        <v>30</v>
      </c>
      <c r="G479" s="58">
        <f t="shared" si="59"/>
        <v>0.5</v>
      </c>
      <c r="H479" s="5"/>
      <c r="I479" s="5"/>
      <c r="J479" s="5"/>
      <c r="K479" s="5"/>
      <c r="L479" s="5"/>
      <c r="N479" s="3">
        <v>30</v>
      </c>
    </row>
    <row r="480" spans="1:16" ht="15.75" hidden="1" x14ac:dyDescent="0.25">
      <c r="A480" s="48">
        <v>479</v>
      </c>
      <c r="B480" s="49" t="s">
        <v>1021</v>
      </c>
      <c r="C480" s="49" t="s">
        <v>1022</v>
      </c>
      <c r="D480" s="53" t="s">
        <v>47</v>
      </c>
      <c r="E480" s="53" t="s">
        <v>51</v>
      </c>
      <c r="F480" s="45">
        <f t="shared" si="60"/>
        <v>0</v>
      </c>
      <c r="G480" s="58">
        <f t="shared" si="59"/>
        <v>0</v>
      </c>
      <c r="H480" s="5"/>
      <c r="I480" s="5"/>
      <c r="J480" s="5"/>
      <c r="K480" s="5"/>
      <c r="L480" s="5"/>
    </row>
    <row r="481" spans="1:16" ht="15.75" hidden="1" x14ac:dyDescent="0.25">
      <c r="A481" s="48">
        <v>480</v>
      </c>
      <c r="B481" s="49" t="s">
        <v>1023</v>
      </c>
      <c r="C481" s="49" t="s">
        <v>1024</v>
      </c>
      <c r="D481" s="53" t="s">
        <v>47</v>
      </c>
      <c r="E481" s="53" t="s">
        <v>48</v>
      </c>
      <c r="F481" s="45">
        <f t="shared" si="60"/>
        <v>219</v>
      </c>
      <c r="G481" s="58">
        <f t="shared" si="59"/>
        <v>3.65</v>
      </c>
      <c r="H481" s="5">
        <v>90</v>
      </c>
      <c r="I481" s="5">
        <v>69</v>
      </c>
      <c r="J481" s="5"/>
      <c r="K481" s="5"/>
      <c r="L481" s="5"/>
      <c r="N481" s="3">
        <v>30</v>
      </c>
      <c r="O481" s="3">
        <v>30</v>
      </c>
    </row>
    <row r="482" spans="1:16" ht="15.75" hidden="1" x14ac:dyDescent="0.25">
      <c r="A482" s="48">
        <v>481</v>
      </c>
      <c r="B482" s="49" t="s">
        <v>1025</v>
      </c>
      <c r="C482" s="49" t="s">
        <v>1026</v>
      </c>
      <c r="D482" s="53" t="s">
        <v>47</v>
      </c>
      <c r="E482" s="53" t="s">
        <v>51</v>
      </c>
      <c r="F482" s="45">
        <f t="shared" si="60"/>
        <v>0</v>
      </c>
      <c r="G482" s="58">
        <f t="shared" si="59"/>
        <v>0</v>
      </c>
      <c r="H482" s="5"/>
      <c r="I482" s="5"/>
      <c r="J482" s="5"/>
      <c r="K482" s="5"/>
      <c r="L482" s="5"/>
    </row>
    <row r="483" spans="1:16" ht="15.75" hidden="1" x14ac:dyDescent="0.25">
      <c r="A483" s="48">
        <v>482</v>
      </c>
      <c r="B483" s="49" t="s">
        <v>1027</v>
      </c>
      <c r="C483" s="49" t="s">
        <v>1028</v>
      </c>
      <c r="D483" s="53" t="s">
        <v>47</v>
      </c>
      <c r="E483" s="53" t="s">
        <v>76</v>
      </c>
      <c r="F483" s="45">
        <f t="shared" si="60"/>
        <v>0</v>
      </c>
      <c r="G483" s="58">
        <f t="shared" si="59"/>
        <v>0</v>
      </c>
      <c r="H483" s="5"/>
      <c r="I483" s="5"/>
      <c r="J483" s="5"/>
      <c r="K483" s="5"/>
      <c r="L483" s="5"/>
    </row>
    <row r="484" spans="1:16" ht="15.75" hidden="1" x14ac:dyDescent="0.25">
      <c r="A484" s="48">
        <v>483</v>
      </c>
      <c r="B484" s="49" t="s">
        <v>1029</v>
      </c>
      <c r="C484" s="49" t="s">
        <v>1030</v>
      </c>
      <c r="D484" s="53" t="s">
        <v>47</v>
      </c>
      <c r="E484" s="53" t="s">
        <v>48</v>
      </c>
      <c r="F484" s="45">
        <f t="shared" si="60"/>
        <v>0</v>
      </c>
      <c r="G484" s="58">
        <f t="shared" si="59"/>
        <v>0</v>
      </c>
      <c r="H484" s="5"/>
      <c r="I484" s="5"/>
      <c r="J484" s="5"/>
      <c r="K484" s="5"/>
      <c r="L484" s="5"/>
    </row>
    <row r="485" spans="1:16" ht="15.75" x14ac:dyDescent="0.25">
      <c r="A485" s="48">
        <v>484</v>
      </c>
      <c r="B485" s="49" t="s">
        <v>1031</v>
      </c>
      <c r="C485" s="49" t="s">
        <v>1032</v>
      </c>
      <c r="D485" s="53" t="s">
        <v>47</v>
      </c>
      <c r="E485" s="53" t="s">
        <v>51</v>
      </c>
      <c r="F485" s="45">
        <f t="shared" si="60"/>
        <v>120</v>
      </c>
      <c r="G485" s="58">
        <f t="shared" si="59"/>
        <v>2</v>
      </c>
      <c r="H485" s="5">
        <v>90</v>
      </c>
      <c r="I485" s="5"/>
      <c r="J485" s="5"/>
      <c r="K485" s="5"/>
      <c r="L485" s="5"/>
      <c r="P485" s="3">
        <v>30</v>
      </c>
    </row>
    <row r="486" spans="1:16" ht="15.75" hidden="1" x14ac:dyDescent="0.25">
      <c r="A486" s="48">
        <v>485</v>
      </c>
      <c r="B486" s="49" t="s">
        <v>1033</v>
      </c>
      <c r="C486" s="49" t="s">
        <v>1034</v>
      </c>
      <c r="D486" s="53" t="s">
        <v>47</v>
      </c>
      <c r="E486" s="53" t="s">
        <v>51</v>
      </c>
      <c r="F486" s="45">
        <f t="shared" si="60"/>
        <v>30</v>
      </c>
      <c r="G486" s="58">
        <f t="shared" si="59"/>
        <v>0.5</v>
      </c>
      <c r="H486" s="5"/>
      <c r="I486" s="5"/>
      <c r="J486" s="5"/>
      <c r="K486" s="5"/>
      <c r="L486" s="5"/>
      <c r="M486" s="3">
        <v>30</v>
      </c>
    </row>
    <row r="487" spans="1:16" ht="15.75" hidden="1" x14ac:dyDescent="0.25">
      <c r="A487" s="48">
        <v>486</v>
      </c>
      <c r="B487" s="49" t="s">
        <v>1035</v>
      </c>
      <c r="C487" s="49" t="s">
        <v>1036</v>
      </c>
      <c r="D487" s="53" t="s">
        <v>82</v>
      </c>
      <c r="E487" s="53" t="s">
        <v>140</v>
      </c>
      <c r="F487" s="45">
        <f t="shared" si="56"/>
        <v>0</v>
      </c>
      <c r="G487" s="58">
        <f t="shared" si="59"/>
        <v>0</v>
      </c>
      <c r="H487" s="5"/>
      <c r="I487" s="5"/>
      <c r="J487" s="5"/>
      <c r="K487" s="5"/>
      <c r="L487" s="5"/>
    </row>
    <row r="488" spans="1:16" ht="15.75" hidden="1" x14ac:dyDescent="0.25">
      <c r="A488" s="48">
        <v>487</v>
      </c>
      <c r="B488" s="49" t="s">
        <v>1037</v>
      </c>
      <c r="C488" s="49" t="s">
        <v>1038</v>
      </c>
      <c r="D488" s="53" t="s">
        <v>47</v>
      </c>
      <c r="E488" s="53" t="s">
        <v>48</v>
      </c>
      <c r="F488" s="45">
        <f t="shared" ref="F488:F489" si="61">SUM($H488:$P488)</f>
        <v>150</v>
      </c>
      <c r="G488" s="58">
        <f t="shared" si="59"/>
        <v>2.5</v>
      </c>
      <c r="H488" s="5">
        <v>90</v>
      </c>
      <c r="I488" s="5"/>
      <c r="J488" s="5"/>
      <c r="K488" s="5"/>
      <c r="L488" s="5">
        <v>60</v>
      </c>
    </row>
    <row r="489" spans="1:16" ht="15.75" hidden="1" x14ac:dyDescent="0.25">
      <c r="A489" s="48">
        <v>488</v>
      </c>
      <c r="B489" s="49" t="s">
        <v>1039</v>
      </c>
      <c r="C489" s="49" t="s">
        <v>1040</v>
      </c>
      <c r="D489" s="53" t="s">
        <v>47</v>
      </c>
      <c r="E489" s="53" t="s">
        <v>51</v>
      </c>
      <c r="F489" s="45">
        <f t="shared" si="61"/>
        <v>0</v>
      </c>
      <c r="G489" s="58">
        <f t="shared" si="59"/>
        <v>0</v>
      </c>
      <c r="H489" s="5"/>
      <c r="I489" s="5"/>
      <c r="J489" s="5"/>
      <c r="K489" s="5"/>
      <c r="L489" s="5"/>
    </row>
    <row r="490" spans="1:16" ht="15.75" hidden="1" x14ac:dyDescent="0.25">
      <c r="A490" s="48">
        <v>489</v>
      </c>
      <c r="B490" s="49" t="s">
        <v>1041</v>
      </c>
      <c r="C490" s="49" t="s">
        <v>1042</v>
      </c>
      <c r="D490" s="53" t="s">
        <v>64</v>
      </c>
      <c r="E490" s="53" t="s">
        <v>65</v>
      </c>
      <c r="F490" s="45">
        <f t="shared" si="56"/>
        <v>0</v>
      </c>
      <c r="G490" s="58">
        <f t="shared" si="59"/>
        <v>0</v>
      </c>
      <c r="H490" s="5"/>
      <c r="I490" s="5"/>
      <c r="J490" s="5"/>
      <c r="K490" s="5"/>
      <c r="L490" s="5"/>
    </row>
    <row r="491" spans="1:16" ht="15.75" hidden="1" x14ac:dyDescent="0.25">
      <c r="A491" s="48">
        <v>490</v>
      </c>
      <c r="B491" s="49" t="s">
        <v>1043</v>
      </c>
      <c r="C491" s="49" t="s">
        <v>1044</v>
      </c>
      <c r="D491" s="53" t="s">
        <v>47</v>
      </c>
      <c r="E491" s="53" t="s">
        <v>86</v>
      </c>
      <c r="F491" s="45">
        <f t="shared" ref="F491:F504" si="62">SUM($H491:$P491)</f>
        <v>0</v>
      </c>
      <c r="G491" s="58">
        <f t="shared" si="59"/>
        <v>0</v>
      </c>
      <c r="H491" s="5"/>
      <c r="I491" s="5"/>
      <c r="J491" s="5"/>
      <c r="K491" s="5"/>
      <c r="L491" s="5"/>
    </row>
    <row r="492" spans="1:16" ht="15.75" hidden="1" x14ac:dyDescent="0.25">
      <c r="A492" s="48">
        <v>491</v>
      </c>
      <c r="B492" s="49" t="s">
        <v>1045</v>
      </c>
      <c r="C492" s="49" t="s">
        <v>1046</v>
      </c>
      <c r="D492" s="53" t="s">
        <v>47</v>
      </c>
      <c r="E492" s="53" t="s">
        <v>105</v>
      </c>
      <c r="F492" s="45">
        <f t="shared" si="62"/>
        <v>90</v>
      </c>
      <c r="G492" s="58">
        <f t="shared" si="59"/>
        <v>1.5</v>
      </c>
      <c r="H492" s="5"/>
      <c r="I492" s="5"/>
      <c r="J492" s="5"/>
      <c r="K492" s="5"/>
      <c r="L492" s="5"/>
      <c r="N492" s="3">
        <v>30</v>
      </c>
      <c r="O492" s="3">
        <v>30</v>
      </c>
      <c r="P492" s="3">
        <v>30</v>
      </c>
    </row>
    <row r="493" spans="1:16" ht="15.75" hidden="1" x14ac:dyDescent="0.25">
      <c r="A493" s="48">
        <v>492</v>
      </c>
      <c r="B493" s="49" t="s">
        <v>1047</v>
      </c>
      <c r="C493" s="49" t="s">
        <v>1048</v>
      </c>
      <c r="D493" s="53" t="s">
        <v>47</v>
      </c>
      <c r="E493" s="53" t="s">
        <v>48</v>
      </c>
      <c r="F493" s="45">
        <f t="shared" si="62"/>
        <v>60</v>
      </c>
      <c r="G493" s="58">
        <f t="shared" si="59"/>
        <v>1</v>
      </c>
      <c r="H493" s="5"/>
      <c r="I493" s="5"/>
      <c r="J493" s="5">
        <v>60</v>
      </c>
      <c r="K493" s="5"/>
      <c r="L493" s="5"/>
    </row>
    <row r="494" spans="1:16" ht="15.75" hidden="1" x14ac:dyDescent="0.25">
      <c r="A494" s="48">
        <v>493</v>
      </c>
      <c r="B494" s="49" t="s">
        <v>1049</v>
      </c>
      <c r="C494" s="49" t="s">
        <v>1050</v>
      </c>
      <c r="D494" s="53" t="s">
        <v>47</v>
      </c>
      <c r="E494" s="53" t="s">
        <v>105</v>
      </c>
      <c r="F494" s="45">
        <f t="shared" si="62"/>
        <v>0</v>
      </c>
      <c r="G494" s="58">
        <f t="shared" si="59"/>
        <v>0</v>
      </c>
      <c r="H494" s="5"/>
      <c r="I494" s="5"/>
      <c r="J494" s="5"/>
      <c r="K494" s="5"/>
      <c r="L494" s="5"/>
    </row>
    <row r="495" spans="1:16" ht="15.75" hidden="1" x14ac:dyDescent="0.25">
      <c r="A495" s="48">
        <v>494</v>
      </c>
      <c r="B495" s="49" t="s">
        <v>1051</v>
      </c>
      <c r="C495" s="49" t="s">
        <v>1052</v>
      </c>
      <c r="D495" s="53" t="s">
        <v>47</v>
      </c>
      <c r="E495" s="53" t="s">
        <v>51</v>
      </c>
      <c r="F495" s="45">
        <f t="shared" si="62"/>
        <v>0</v>
      </c>
      <c r="G495" s="58">
        <f t="shared" si="59"/>
        <v>0</v>
      </c>
      <c r="H495" s="5"/>
      <c r="I495" s="5"/>
      <c r="J495" s="5"/>
      <c r="K495" s="5"/>
      <c r="L495" s="5"/>
    </row>
    <row r="496" spans="1:16" ht="15.75" hidden="1" x14ac:dyDescent="0.25">
      <c r="A496" s="48">
        <v>495</v>
      </c>
      <c r="B496" s="49" t="s">
        <v>1053</v>
      </c>
      <c r="C496" s="49" t="s">
        <v>1054</v>
      </c>
      <c r="D496" s="53" t="s">
        <v>47</v>
      </c>
      <c r="E496" s="53" t="s">
        <v>51</v>
      </c>
      <c r="F496" s="45">
        <f t="shared" si="62"/>
        <v>0</v>
      </c>
      <c r="G496" s="58">
        <f t="shared" si="59"/>
        <v>0</v>
      </c>
      <c r="H496" s="5"/>
      <c r="I496" s="5"/>
      <c r="J496" s="5"/>
      <c r="K496" s="5"/>
      <c r="L496" s="5"/>
    </row>
    <row r="497" spans="1:16" ht="15.75" hidden="1" x14ac:dyDescent="0.25">
      <c r="A497" s="48">
        <v>496</v>
      </c>
      <c r="B497" s="49" t="s">
        <v>1055</v>
      </c>
      <c r="C497" s="49" t="s">
        <v>1056</v>
      </c>
      <c r="D497" s="53" t="s">
        <v>47</v>
      </c>
      <c r="E497" s="53" t="s">
        <v>48</v>
      </c>
      <c r="F497" s="45">
        <f t="shared" si="62"/>
        <v>375</v>
      </c>
      <c r="G497" s="58">
        <f t="shared" si="59"/>
        <v>6.25</v>
      </c>
      <c r="H497" s="5">
        <v>90</v>
      </c>
      <c r="I497" s="5">
        <v>75</v>
      </c>
      <c r="J497" s="5"/>
      <c r="K497" s="5">
        <v>90</v>
      </c>
      <c r="L497" s="5"/>
      <c r="M497" s="3">
        <v>30</v>
      </c>
      <c r="N497" s="3">
        <v>30</v>
      </c>
      <c r="O497" s="3">
        <v>30</v>
      </c>
      <c r="P497" s="3">
        <v>30</v>
      </c>
    </row>
    <row r="498" spans="1:16" ht="15.75" hidden="1" x14ac:dyDescent="0.25">
      <c r="A498" s="48">
        <v>497</v>
      </c>
      <c r="B498" s="49" t="s">
        <v>1057</v>
      </c>
      <c r="C498" s="49" t="s">
        <v>1058</v>
      </c>
      <c r="D498" s="53" t="s">
        <v>47</v>
      </c>
      <c r="E498" s="53" t="s">
        <v>205</v>
      </c>
      <c r="F498" s="45">
        <f t="shared" si="62"/>
        <v>0</v>
      </c>
      <c r="G498" s="58">
        <f t="shared" si="59"/>
        <v>0</v>
      </c>
      <c r="H498" s="5"/>
      <c r="I498" s="5"/>
      <c r="J498" s="5"/>
      <c r="K498" s="5"/>
      <c r="L498" s="5"/>
    </row>
    <row r="499" spans="1:16" ht="15.75" hidden="1" x14ac:dyDescent="0.25">
      <c r="A499" s="48">
        <v>498</v>
      </c>
      <c r="B499" s="49" t="s">
        <v>1059</v>
      </c>
      <c r="C499" s="49" t="s">
        <v>1060</v>
      </c>
      <c r="D499" s="53" t="s">
        <v>47</v>
      </c>
      <c r="E499" s="53" t="s">
        <v>105</v>
      </c>
      <c r="F499" s="45">
        <f t="shared" si="62"/>
        <v>0</v>
      </c>
      <c r="G499" s="58">
        <f t="shared" si="59"/>
        <v>0</v>
      </c>
      <c r="H499" s="5"/>
      <c r="I499" s="5"/>
      <c r="J499" s="5"/>
      <c r="K499" s="5"/>
      <c r="L499" s="5"/>
    </row>
    <row r="500" spans="1:16" ht="15.75" hidden="1" x14ac:dyDescent="0.25">
      <c r="A500" s="48">
        <v>499</v>
      </c>
      <c r="B500" s="49" t="s">
        <v>1061</v>
      </c>
      <c r="C500" s="49" t="s">
        <v>1062</v>
      </c>
      <c r="D500" s="53" t="s">
        <v>47</v>
      </c>
      <c r="E500" s="53" t="s">
        <v>48</v>
      </c>
      <c r="F500" s="45">
        <f t="shared" si="62"/>
        <v>0</v>
      </c>
      <c r="G500" s="58">
        <f t="shared" si="59"/>
        <v>0</v>
      </c>
      <c r="H500" s="5"/>
      <c r="I500" s="5"/>
      <c r="J500" s="5"/>
      <c r="K500" s="5"/>
      <c r="L500" s="5"/>
    </row>
    <row r="501" spans="1:16" ht="15.75" hidden="1" x14ac:dyDescent="0.25">
      <c r="A501" s="48">
        <v>500</v>
      </c>
      <c r="B501" s="49" t="s">
        <v>1063</v>
      </c>
      <c r="C501" s="49" t="s">
        <v>1064</v>
      </c>
      <c r="D501" s="53" t="s">
        <v>47</v>
      </c>
      <c r="E501" s="53" t="s">
        <v>48</v>
      </c>
      <c r="F501" s="45">
        <f t="shared" si="62"/>
        <v>60</v>
      </c>
      <c r="G501" s="58">
        <f t="shared" si="59"/>
        <v>1</v>
      </c>
      <c r="H501" s="5"/>
      <c r="I501" s="5"/>
      <c r="J501" s="5"/>
      <c r="K501" s="5"/>
      <c r="L501" s="5"/>
      <c r="O501" s="3">
        <v>30</v>
      </c>
      <c r="P501" s="3">
        <v>30</v>
      </c>
    </row>
    <row r="502" spans="1:16" ht="15.75" hidden="1" x14ac:dyDescent="0.25">
      <c r="A502" s="48">
        <v>501</v>
      </c>
      <c r="B502" s="49" t="s">
        <v>1065</v>
      </c>
      <c r="C502" s="49" t="s">
        <v>1066</v>
      </c>
      <c r="D502" s="53" t="s">
        <v>47</v>
      </c>
      <c r="E502" s="53" t="s">
        <v>79</v>
      </c>
      <c r="F502" s="45">
        <f t="shared" si="62"/>
        <v>61</v>
      </c>
      <c r="G502" s="58">
        <f t="shared" si="59"/>
        <v>1.0166666666666666</v>
      </c>
      <c r="H502" s="5"/>
      <c r="I502" s="5">
        <v>61</v>
      </c>
      <c r="J502" s="5"/>
      <c r="K502" s="5"/>
      <c r="L502" s="5"/>
    </row>
    <row r="503" spans="1:16" ht="15.75" hidden="1" x14ac:dyDescent="0.25">
      <c r="A503" s="48">
        <v>502</v>
      </c>
      <c r="B503" s="49" t="s">
        <v>1067</v>
      </c>
      <c r="C503" s="49" t="s">
        <v>1068</v>
      </c>
      <c r="D503" s="53" t="s">
        <v>47</v>
      </c>
      <c r="E503" s="53" t="s">
        <v>51</v>
      </c>
      <c r="F503" s="45">
        <f t="shared" si="62"/>
        <v>0</v>
      </c>
      <c r="G503" s="58">
        <f t="shared" si="59"/>
        <v>0</v>
      </c>
      <c r="H503" s="5"/>
      <c r="I503" s="5"/>
      <c r="J503" s="5"/>
      <c r="K503" s="5"/>
      <c r="L503" s="5"/>
    </row>
    <row r="504" spans="1:16" ht="15.75" hidden="1" x14ac:dyDescent="0.25">
      <c r="A504" s="48">
        <v>503</v>
      </c>
      <c r="B504" s="49" t="s">
        <v>1069</v>
      </c>
      <c r="C504" s="49" t="s">
        <v>1070</v>
      </c>
      <c r="D504" s="53" t="s">
        <v>47</v>
      </c>
      <c r="E504" s="53" t="s">
        <v>105</v>
      </c>
      <c r="F504" s="45">
        <f t="shared" si="62"/>
        <v>0</v>
      </c>
      <c r="G504" s="58">
        <f t="shared" si="59"/>
        <v>0</v>
      </c>
      <c r="H504" s="5"/>
      <c r="I504" s="5"/>
      <c r="J504" s="5"/>
      <c r="K504" s="5"/>
      <c r="L504" s="5"/>
    </row>
    <row r="505" spans="1:16" ht="15.75" hidden="1" x14ac:dyDescent="0.25">
      <c r="A505" s="48">
        <v>504</v>
      </c>
      <c r="B505" s="49" t="s">
        <v>1071</v>
      </c>
      <c r="C505" s="49" t="s">
        <v>1072</v>
      </c>
      <c r="D505" s="53" t="s">
        <v>64</v>
      </c>
      <c r="E505" s="53" t="s">
        <v>186</v>
      </c>
      <c r="F505" s="45">
        <f t="shared" si="56"/>
        <v>90</v>
      </c>
      <c r="G505" s="58">
        <f t="shared" si="59"/>
        <v>1.5</v>
      </c>
      <c r="H505" s="5"/>
      <c r="I505" s="5"/>
      <c r="J505" s="5"/>
      <c r="K505" s="5">
        <v>90</v>
      </c>
      <c r="L505" s="5"/>
    </row>
    <row r="506" spans="1:16" ht="15.75" hidden="1" x14ac:dyDescent="0.25">
      <c r="A506" s="48">
        <v>505</v>
      </c>
      <c r="B506" s="49" t="s">
        <v>1073</v>
      </c>
      <c r="C506" s="49" t="s">
        <v>1074</v>
      </c>
      <c r="D506" s="53" t="s">
        <v>64</v>
      </c>
      <c r="E506" s="53" t="s">
        <v>65</v>
      </c>
      <c r="F506" s="45">
        <f t="shared" si="56"/>
        <v>0</v>
      </c>
      <c r="G506" s="58">
        <f t="shared" si="59"/>
        <v>0</v>
      </c>
      <c r="H506" s="5"/>
      <c r="I506" s="5"/>
      <c r="J506" s="5"/>
      <c r="K506" s="5"/>
      <c r="L506" s="5"/>
    </row>
    <row r="507" spans="1:16" ht="15.75" hidden="1" x14ac:dyDescent="0.25">
      <c r="A507" s="48">
        <v>506</v>
      </c>
      <c r="B507" s="49" t="s">
        <v>1075</v>
      </c>
      <c r="C507" s="49" t="s">
        <v>1076</v>
      </c>
      <c r="D507" s="53" t="s">
        <v>47</v>
      </c>
      <c r="E507" s="53" t="s">
        <v>51</v>
      </c>
      <c r="F507" s="45">
        <f t="shared" ref="F507:F514" si="63">SUM($H507:$P507)</f>
        <v>30</v>
      </c>
      <c r="G507" s="58">
        <f t="shared" si="59"/>
        <v>0.5</v>
      </c>
      <c r="H507" s="5"/>
      <c r="I507" s="5"/>
      <c r="J507" s="5"/>
      <c r="K507" s="5"/>
      <c r="L507" s="5"/>
      <c r="P507" s="3">
        <v>30</v>
      </c>
    </row>
    <row r="508" spans="1:16" ht="15.75" hidden="1" x14ac:dyDescent="0.25">
      <c r="A508" s="48">
        <v>507</v>
      </c>
      <c r="B508" s="49" t="s">
        <v>1077</v>
      </c>
      <c r="C508" s="49" t="s">
        <v>1078</v>
      </c>
      <c r="D508" s="53" t="s">
        <v>47</v>
      </c>
      <c r="E508" s="53" t="s">
        <v>76</v>
      </c>
      <c r="F508" s="45">
        <f t="shared" si="63"/>
        <v>60</v>
      </c>
      <c r="G508" s="58">
        <f t="shared" si="59"/>
        <v>1</v>
      </c>
      <c r="H508" s="5"/>
      <c r="I508" s="5"/>
      <c r="J508" s="5"/>
      <c r="K508" s="5"/>
      <c r="L508" s="5"/>
      <c r="N508" s="3">
        <v>30</v>
      </c>
      <c r="O508" s="3">
        <v>30</v>
      </c>
    </row>
    <row r="509" spans="1:16" ht="15.75" hidden="1" x14ac:dyDescent="0.25">
      <c r="A509" s="48">
        <v>508</v>
      </c>
      <c r="B509" s="49" t="s">
        <v>1079</v>
      </c>
      <c r="C509" s="49" t="s">
        <v>1080</v>
      </c>
      <c r="D509" s="53" t="s">
        <v>47</v>
      </c>
      <c r="E509" s="53" t="s">
        <v>48</v>
      </c>
      <c r="F509" s="45">
        <f t="shared" si="63"/>
        <v>0</v>
      </c>
      <c r="G509" s="58">
        <f t="shared" si="59"/>
        <v>0</v>
      </c>
      <c r="H509" s="5"/>
      <c r="I509" s="5"/>
      <c r="J509" s="5"/>
      <c r="K509" s="5"/>
      <c r="L509" s="5"/>
    </row>
    <row r="510" spans="1:16" ht="15.75" hidden="1" x14ac:dyDescent="0.25">
      <c r="A510" s="48">
        <v>509</v>
      </c>
      <c r="B510" s="49" t="s">
        <v>1081</v>
      </c>
      <c r="C510" s="49" t="s">
        <v>1082</v>
      </c>
      <c r="D510" s="53" t="s">
        <v>47</v>
      </c>
      <c r="E510" s="53" t="s">
        <v>51</v>
      </c>
      <c r="F510" s="45">
        <f t="shared" si="63"/>
        <v>0</v>
      </c>
      <c r="G510" s="58">
        <f t="shared" si="59"/>
        <v>0</v>
      </c>
      <c r="H510" s="5"/>
      <c r="I510" s="5"/>
      <c r="J510" s="5"/>
      <c r="K510" s="5"/>
      <c r="L510" s="5"/>
    </row>
    <row r="511" spans="1:16" ht="15.75" hidden="1" x14ac:dyDescent="0.25">
      <c r="A511" s="48">
        <v>510</v>
      </c>
      <c r="B511" s="49" t="s">
        <v>1083</v>
      </c>
      <c r="C511" s="49" t="s">
        <v>1084</v>
      </c>
      <c r="D511" s="53" t="s">
        <v>47</v>
      </c>
      <c r="E511" s="53" t="s">
        <v>76</v>
      </c>
      <c r="F511" s="45">
        <f t="shared" si="63"/>
        <v>0</v>
      </c>
      <c r="G511" s="58">
        <f t="shared" si="59"/>
        <v>0</v>
      </c>
      <c r="H511" s="5"/>
      <c r="I511" s="5"/>
      <c r="J511" s="5"/>
      <c r="K511" s="5"/>
      <c r="L511" s="5"/>
    </row>
    <row r="512" spans="1:16" ht="15.75" hidden="1" x14ac:dyDescent="0.25">
      <c r="A512" s="48">
        <v>511</v>
      </c>
      <c r="B512" s="49" t="s">
        <v>1085</v>
      </c>
      <c r="C512" s="49" t="s">
        <v>1086</v>
      </c>
      <c r="D512" s="53" t="s">
        <v>47</v>
      </c>
      <c r="E512" s="53" t="s">
        <v>51</v>
      </c>
      <c r="F512" s="45">
        <f t="shared" si="63"/>
        <v>120</v>
      </c>
      <c r="G512" s="58">
        <f t="shared" si="59"/>
        <v>2</v>
      </c>
      <c r="H512" s="5">
        <v>90</v>
      </c>
      <c r="I512" s="5"/>
      <c r="J512" s="5"/>
      <c r="K512" s="5"/>
      <c r="L512" s="5"/>
      <c r="M512" s="3">
        <v>30</v>
      </c>
    </row>
    <row r="513" spans="1:16" ht="15.75" hidden="1" x14ac:dyDescent="0.25">
      <c r="A513" s="48">
        <v>512</v>
      </c>
      <c r="B513" s="49" t="s">
        <v>1087</v>
      </c>
      <c r="C513" s="49" t="s">
        <v>1088</v>
      </c>
      <c r="D513" s="53" t="s">
        <v>47</v>
      </c>
      <c r="E513" s="53" t="s">
        <v>48</v>
      </c>
      <c r="F513" s="45">
        <f t="shared" si="63"/>
        <v>60</v>
      </c>
      <c r="G513" s="58">
        <f t="shared" si="59"/>
        <v>1</v>
      </c>
      <c r="H513" s="5"/>
      <c r="I513" s="5"/>
      <c r="J513" s="5"/>
      <c r="K513" s="5"/>
      <c r="L513" s="5"/>
      <c r="O513" s="3">
        <v>30</v>
      </c>
      <c r="P513" s="3">
        <v>30</v>
      </c>
    </row>
    <row r="514" spans="1:16" ht="15.75" hidden="1" x14ac:dyDescent="0.25">
      <c r="A514" s="48">
        <v>513</v>
      </c>
      <c r="B514" s="49" t="s">
        <v>1089</v>
      </c>
      <c r="C514" s="49" t="s">
        <v>1090</v>
      </c>
      <c r="D514" s="53" t="s">
        <v>47</v>
      </c>
      <c r="E514" s="53" t="s">
        <v>105</v>
      </c>
      <c r="F514" s="45">
        <f t="shared" si="63"/>
        <v>0</v>
      </c>
      <c r="G514" s="58">
        <f t="shared" si="59"/>
        <v>0</v>
      </c>
      <c r="H514" s="5"/>
      <c r="I514" s="5"/>
      <c r="J514" s="5"/>
      <c r="K514" s="5"/>
      <c r="L514" s="5"/>
    </row>
    <row r="515" spans="1:16" ht="15.75" hidden="1" x14ac:dyDescent="0.25">
      <c r="A515" s="48">
        <v>514</v>
      </c>
      <c r="B515" s="49" t="s">
        <v>1091</v>
      </c>
      <c r="C515" s="49" t="s">
        <v>1092</v>
      </c>
      <c r="D515" s="53" t="s">
        <v>64</v>
      </c>
      <c r="E515" s="53" t="s">
        <v>186</v>
      </c>
      <c r="F515" s="45">
        <f t="shared" ref="F515:F572" si="64">SUM($H515:$K515)</f>
        <v>0</v>
      </c>
      <c r="G515" s="58">
        <f t="shared" si="59"/>
        <v>0</v>
      </c>
      <c r="H515" s="5"/>
      <c r="I515" s="5"/>
      <c r="J515" s="5"/>
      <c r="K515" s="5"/>
      <c r="L515" s="5"/>
    </row>
    <row r="516" spans="1:16" ht="15.75" hidden="1" x14ac:dyDescent="0.25">
      <c r="A516" s="48">
        <v>515</v>
      </c>
      <c r="B516" s="49" t="s">
        <v>1093</v>
      </c>
      <c r="C516" s="49" t="s">
        <v>1094</v>
      </c>
      <c r="D516" s="53" t="s">
        <v>64</v>
      </c>
      <c r="E516" s="53" t="s">
        <v>65</v>
      </c>
      <c r="F516" s="45">
        <f t="shared" si="64"/>
        <v>0</v>
      </c>
      <c r="G516" s="58">
        <f t="shared" si="59"/>
        <v>0</v>
      </c>
      <c r="H516" s="5"/>
      <c r="I516" s="5"/>
      <c r="J516" s="5"/>
      <c r="K516" s="5"/>
      <c r="L516" s="5"/>
    </row>
    <row r="517" spans="1:16" ht="15.75" hidden="1" x14ac:dyDescent="0.25">
      <c r="A517" s="48">
        <v>516</v>
      </c>
      <c r="B517" s="49" t="s">
        <v>1095</v>
      </c>
      <c r="C517" s="49" t="s">
        <v>1096</v>
      </c>
      <c r="D517" s="53" t="s">
        <v>47</v>
      </c>
      <c r="E517" s="53" t="s">
        <v>51</v>
      </c>
      <c r="F517" s="45">
        <f t="shared" ref="F517:F518" si="65">SUM($H517:$P517)</f>
        <v>0</v>
      </c>
      <c r="G517" s="58">
        <f t="shared" si="59"/>
        <v>0</v>
      </c>
      <c r="H517" s="5"/>
      <c r="I517" s="5"/>
      <c r="J517" s="5"/>
      <c r="K517" s="5"/>
      <c r="L517" s="5"/>
    </row>
    <row r="518" spans="1:16" ht="15.75" hidden="1" x14ac:dyDescent="0.25">
      <c r="A518" s="48">
        <v>517</v>
      </c>
      <c r="B518" s="49" t="s">
        <v>1097</v>
      </c>
      <c r="C518" s="49" t="s">
        <v>1098</v>
      </c>
      <c r="D518" s="53" t="s">
        <v>47</v>
      </c>
      <c r="E518" s="53" t="s">
        <v>51</v>
      </c>
      <c r="F518" s="45">
        <f t="shared" si="65"/>
        <v>0</v>
      </c>
      <c r="G518" s="58">
        <f t="shared" si="59"/>
        <v>0</v>
      </c>
      <c r="H518" s="5"/>
      <c r="I518" s="5"/>
      <c r="J518" s="5"/>
      <c r="K518" s="5"/>
      <c r="L518" s="5"/>
    </row>
    <row r="519" spans="1:16" ht="15.75" hidden="1" x14ac:dyDescent="0.25">
      <c r="A519" s="48">
        <v>518</v>
      </c>
      <c r="B519" s="49" t="s">
        <v>1099</v>
      </c>
      <c r="C519" s="49" t="s">
        <v>1100</v>
      </c>
      <c r="D519" s="53" t="s">
        <v>123</v>
      </c>
      <c r="E519" s="53" t="s">
        <v>123</v>
      </c>
      <c r="F519" s="45">
        <f t="shared" si="64"/>
        <v>0</v>
      </c>
      <c r="G519" s="57"/>
      <c r="H519" s="5"/>
      <c r="I519" s="5"/>
      <c r="J519" s="5"/>
      <c r="K519" s="5"/>
      <c r="L519" s="5"/>
      <c r="M519"/>
      <c r="N519"/>
      <c r="O519"/>
      <c r="P519"/>
    </row>
    <row r="520" spans="1:16" ht="15.75" hidden="1" x14ac:dyDescent="0.25">
      <c r="A520" s="48">
        <v>519</v>
      </c>
      <c r="B520" s="49" t="s">
        <v>1101</v>
      </c>
      <c r="C520" s="49" t="s">
        <v>1102</v>
      </c>
      <c r="D520" s="53" t="s">
        <v>47</v>
      </c>
      <c r="E520" s="53" t="s">
        <v>86</v>
      </c>
      <c r="F520" s="45">
        <f>SUM($H520:$P520)</f>
        <v>90</v>
      </c>
      <c r="G520" s="58">
        <f t="shared" ref="G520:G523" si="66">F520/60</f>
        <v>1.5</v>
      </c>
      <c r="H520" s="5"/>
      <c r="I520" s="5"/>
      <c r="J520" s="5"/>
      <c r="K520" s="5">
        <v>90</v>
      </c>
      <c r="L520" s="5"/>
    </row>
    <row r="521" spans="1:16" ht="15.75" hidden="1" x14ac:dyDescent="0.25">
      <c r="A521" s="48">
        <v>520</v>
      </c>
      <c r="B521" s="49" t="s">
        <v>1103</v>
      </c>
      <c r="C521" s="49" t="s">
        <v>1104</v>
      </c>
      <c r="D521" s="53" t="s">
        <v>82</v>
      </c>
      <c r="E521" s="53" t="s">
        <v>83</v>
      </c>
      <c r="F521" s="45">
        <f t="shared" si="64"/>
        <v>0</v>
      </c>
      <c r="G521" s="58">
        <f t="shared" si="66"/>
        <v>0</v>
      </c>
      <c r="H521" s="5"/>
      <c r="I521" s="5"/>
      <c r="J521" s="5"/>
      <c r="K521" s="5"/>
      <c r="L521" s="5"/>
    </row>
    <row r="522" spans="1:16" ht="15.75" hidden="1" x14ac:dyDescent="0.25">
      <c r="A522" s="48">
        <v>521</v>
      </c>
      <c r="B522" s="49" t="s">
        <v>1105</v>
      </c>
      <c r="C522" s="49" t="s">
        <v>1106</v>
      </c>
      <c r="D522" s="53" t="s">
        <v>47</v>
      </c>
      <c r="E522" s="53" t="s">
        <v>56</v>
      </c>
      <c r="F522" s="45">
        <f t="shared" ref="F522:F523" si="67">SUM($H522:$P522)</f>
        <v>0</v>
      </c>
      <c r="G522" s="58">
        <f t="shared" si="66"/>
        <v>0</v>
      </c>
      <c r="H522" s="5"/>
      <c r="I522" s="5"/>
      <c r="J522" s="5"/>
      <c r="K522" s="5"/>
      <c r="L522" s="5"/>
    </row>
    <row r="523" spans="1:16" ht="15.75" hidden="1" x14ac:dyDescent="0.25">
      <c r="A523" s="48">
        <v>522</v>
      </c>
      <c r="B523" s="49" t="s">
        <v>1107</v>
      </c>
      <c r="C523" s="49" t="s">
        <v>1108</v>
      </c>
      <c r="D523" s="53" t="s">
        <v>47</v>
      </c>
      <c r="E523" s="53" t="s">
        <v>116</v>
      </c>
      <c r="F523" s="45">
        <f t="shared" si="67"/>
        <v>0</v>
      </c>
      <c r="G523" s="58">
        <f t="shared" si="66"/>
        <v>0</v>
      </c>
      <c r="H523" s="5"/>
      <c r="I523" s="5"/>
      <c r="J523" s="5"/>
      <c r="K523" s="5"/>
      <c r="L523" s="5"/>
    </row>
    <row r="524" spans="1:16" ht="15.75" hidden="1" x14ac:dyDescent="0.25">
      <c r="A524" s="48">
        <v>523</v>
      </c>
      <c r="B524" s="49" t="s">
        <v>1109</v>
      </c>
      <c r="C524" s="49" t="s">
        <v>1110</v>
      </c>
      <c r="D524" s="53" t="s">
        <v>123</v>
      </c>
      <c r="E524" s="53" t="s">
        <v>123</v>
      </c>
      <c r="F524" s="45">
        <f t="shared" si="64"/>
        <v>0</v>
      </c>
      <c r="G524" s="57"/>
      <c r="H524" s="5"/>
      <c r="I524" s="5"/>
      <c r="J524" s="5"/>
      <c r="K524" s="5"/>
      <c r="L524" s="5"/>
      <c r="M524"/>
      <c r="N524"/>
      <c r="O524"/>
      <c r="P524"/>
    </row>
    <row r="525" spans="1:16" ht="15.75" hidden="1" x14ac:dyDescent="0.25">
      <c r="A525" s="48">
        <v>524</v>
      </c>
      <c r="B525" s="49" t="s">
        <v>1111</v>
      </c>
      <c r="C525" s="49" t="s">
        <v>1112</v>
      </c>
      <c r="D525" s="53" t="s">
        <v>47</v>
      </c>
      <c r="E525" s="53" t="s">
        <v>56</v>
      </c>
      <c r="F525" s="45">
        <f t="shared" ref="F525:F528" si="68">SUM($H525:$P525)</f>
        <v>383</v>
      </c>
      <c r="G525" s="58">
        <f t="shared" ref="G525:G532" si="69">F525/60</f>
        <v>6.3833333333333337</v>
      </c>
      <c r="H525" s="5">
        <v>90</v>
      </c>
      <c r="I525" s="5">
        <v>83</v>
      </c>
      <c r="J525" s="5">
        <v>60</v>
      </c>
      <c r="K525" s="5">
        <v>90</v>
      </c>
      <c r="L525" s="5">
        <v>60</v>
      </c>
    </row>
    <row r="526" spans="1:16" ht="15.75" hidden="1" x14ac:dyDescent="0.25">
      <c r="A526" s="48">
        <v>525</v>
      </c>
      <c r="B526" s="49" t="s">
        <v>1113</v>
      </c>
      <c r="C526" s="49" t="s">
        <v>1114</v>
      </c>
      <c r="D526" s="53" t="s">
        <v>47</v>
      </c>
      <c r="E526" s="53" t="s">
        <v>56</v>
      </c>
      <c r="F526" s="45">
        <f t="shared" si="68"/>
        <v>120</v>
      </c>
      <c r="G526" s="58">
        <f t="shared" si="69"/>
        <v>2</v>
      </c>
      <c r="H526" s="5"/>
      <c r="I526" s="5"/>
      <c r="J526" s="5"/>
      <c r="K526" s="5">
        <v>90</v>
      </c>
      <c r="L526" s="5"/>
      <c r="P526" s="3">
        <v>30</v>
      </c>
    </row>
    <row r="527" spans="1:16" ht="15.75" hidden="1" x14ac:dyDescent="0.25">
      <c r="A527" s="48">
        <v>526</v>
      </c>
      <c r="B527" s="49" t="s">
        <v>1115</v>
      </c>
      <c r="C527" s="49" t="s">
        <v>1116</v>
      </c>
      <c r="D527" s="53" t="s">
        <v>47</v>
      </c>
      <c r="E527" s="53" t="s">
        <v>105</v>
      </c>
      <c r="F527" s="45">
        <f t="shared" si="68"/>
        <v>0</v>
      </c>
      <c r="G527" s="58">
        <f t="shared" si="69"/>
        <v>0</v>
      </c>
      <c r="H527" s="5"/>
      <c r="I527" s="5"/>
      <c r="J527" s="5"/>
      <c r="K527" s="5"/>
      <c r="L527" s="5"/>
    </row>
    <row r="528" spans="1:16" ht="15.75" hidden="1" x14ac:dyDescent="0.25">
      <c r="A528" s="48">
        <v>527</v>
      </c>
      <c r="B528" s="49" t="s">
        <v>1117</v>
      </c>
      <c r="C528" s="49" t="s">
        <v>1118</v>
      </c>
      <c r="D528" s="53" t="s">
        <v>47</v>
      </c>
      <c r="E528" s="53" t="s">
        <v>51</v>
      </c>
      <c r="F528" s="45">
        <f t="shared" si="68"/>
        <v>60</v>
      </c>
      <c r="G528" s="58">
        <f t="shared" si="69"/>
        <v>1</v>
      </c>
      <c r="H528" s="5"/>
      <c r="I528" s="5"/>
      <c r="J528" s="5"/>
      <c r="K528" s="5"/>
      <c r="L528" s="5"/>
      <c r="N528" s="3">
        <v>30</v>
      </c>
      <c r="P528" s="3">
        <v>30</v>
      </c>
    </row>
    <row r="529" spans="1:16" ht="15.75" hidden="1" x14ac:dyDescent="0.25">
      <c r="A529" s="48">
        <v>528</v>
      </c>
      <c r="B529" s="49" t="s">
        <v>1119</v>
      </c>
      <c r="C529" s="49" t="s">
        <v>1120</v>
      </c>
      <c r="D529" s="53" t="s">
        <v>64</v>
      </c>
      <c r="E529" s="53" t="s">
        <v>186</v>
      </c>
      <c r="F529" s="45">
        <f t="shared" si="64"/>
        <v>0</v>
      </c>
      <c r="G529" s="58">
        <f t="shared" si="69"/>
        <v>0</v>
      </c>
      <c r="H529" s="5"/>
      <c r="I529" s="5"/>
      <c r="J529" s="5"/>
      <c r="K529" s="5"/>
      <c r="L529" s="5"/>
    </row>
    <row r="530" spans="1:16" ht="15.75" hidden="1" x14ac:dyDescent="0.25">
      <c r="A530" s="48">
        <v>529</v>
      </c>
      <c r="B530" s="49" t="s">
        <v>1121</v>
      </c>
      <c r="C530" s="49" t="s">
        <v>1122</v>
      </c>
      <c r="D530" s="53" t="s">
        <v>47</v>
      </c>
      <c r="E530" s="53" t="s">
        <v>51</v>
      </c>
      <c r="F530" s="45">
        <f>SUM($H530:$P530)</f>
        <v>0</v>
      </c>
      <c r="G530" s="58">
        <f t="shared" si="69"/>
        <v>0</v>
      </c>
    </row>
    <row r="531" spans="1:16" ht="15.75" hidden="1" x14ac:dyDescent="0.25">
      <c r="A531" s="48">
        <v>530</v>
      </c>
      <c r="B531" s="49" t="s">
        <v>1123</v>
      </c>
      <c r="C531" s="49" t="s">
        <v>1124</v>
      </c>
      <c r="D531" s="53" t="s">
        <v>64</v>
      </c>
      <c r="E531" s="53" t="s">
        <v>65</v>
      </c>
      <c r="F531" s="45">
        <f t="shared" si="64"/>
        <v>0</v>
      </c>
      <c r="G531" s="58">
        <f t="shared" si="69"/>
        <v>0</v>
      </c>
      <c r="H531" s="5"/>
      <c r="I531" s="5"/>
      <c r="J531" s="5"/>
      <c r="K531" s="5"/>
      <c r="L531" s="5"/>
    </row>
    <row r="532" spans="1:16" ht="15.75" hidden="1" x14ac:dyDescent="0.25">
      <c r="A532" s="48">
        <v>531</v>
      </c>
      <c r="B532" s="49" t="s">
        <v>1125</v>
      </c>
      <c r="C532" s="49" t="s">
        <v>1126</v>
      </c>
      <c r="D532" s="53" t="s">
        <v>47</v>
      </c>
      <c r="E532" s="53" t="s">
        <v>48</v>
      </c>
      <c r="F532" s="45">
        <f>SUM($H532:$P532)</f>
        <v>53</v>
      </c>
      <c r="G532" s="58">
        <f t="shared" si="69"/>
        <v>0.8833333333333333</v>
      </c>
      <c r="H532" s="5"/>
      <c r="I532" s="5">
        <v>53</v>
      </c>
      <c r="J532" s="5"/>
      <c r="K532" s="5"/>
      <c r="L532" s="5"/>
    </row>
    <row r="533" spans="1:16" ht="15.75" hidden="1" x14ac:dyDescent="0.25">
      <c r="A533" s="48">
        <v>532</v>
      </c>
      <c r="B533" s="49" t="s">
        <v>1127</v>
      </c>
      <c r="C533" s="49" t="s">
        <v>1128</v>
      </c>
      <c r="D533" s="53" t="s">
        <v>123</v>
      </c>
      <c r="E533" s="53" t="s">
        <v>123</v>
      </c>
      <c r="F533" s="45">
        <f t="shared" si="64"/>
        <v>0</v>
      </c>
      <c r="G533" s="57"/>
      <c r="H533" s="5"/>
      <c r="I533" s="5"/>
      <c r="J533" s="5"/>
      <c r="K533" s="5"/>
      <c r="L533" s="5"/>
      <c r="M533"/>
      <c r="N533"/>
      <c r="O533"/>
      <c r="P533"/>
    </row>
    <row r="534" spans="1:16" ht="15.75" hidden="1" x14ac:dyDescent="0.25">
      <c r="A534" s="48">
        <v>533</v>
      </c>
      <c r="B534" s="49" t="s">
        <v>1129</v>
      </c>
      <c r="C534" s="49" t="s">
        <v>1130</v>
      </c>
      <c r="D534" s="53" t="s">
        <v>47</v>
      </c>
      <c r="E534" s="53" t="s">
        <v>48</v>
      </c>
      <c r="F534" s="45">
        <f t="shared" ref="F534:F542" si="70">SUM($H534:$P534)</f>
        <v>180</v>
      </c>
      <c r="G534" s="58">
        <f t="shared" ref="G534:G597" si="71">F534/60</f>
        <v>3</v>
      </c>
      <c r="H534" s="5">
        <v>90</v>
      </c>
      <c r="I534" s="5"/>
      <c r="J534" s="5"/>
      <c r="K534" s="5">
        <v>90</v>
      </c>
      <c r="L534" s="5"/>
    </row>
    <row r="535" spans="1:16" ht="15.75" hidden="1" x14ac:dyDescent="0.25">
      <c r="A535" s="48">
        <v>534</v>
      </c>
      <c r="B535" s="49" t="s">
        <v>1131</v>
      </c>
      <c r="C535" s="49" t="s">
        <v>1132</v>
      </c>
      <c r="D535" s="53" t="s">
        <v>47</v>
      </c>
      <c r="E535" s="53" t="s">
        <v>48</v>
      </c>
      <c r="F535" s="45">
        <f t="shared" si="70"/>
        <v>0</v>
      </c>
      <c r="G535" s="58">
        <f t="shared" si="71"/>
        <v>0</v>
      </c>
      <c r="H535" s="5"/>
      <c r="I535" s="5"/>
      <c r="J535" s="5"/>
      <c r="K535" s="5"/>
      <c r="L535" s="5"/>
    </row>
    <row r="536" spans="1:16" ht="15.75" hidden="1" x14ac:dyDescent="0.25">
      <c r="A536" s="48">
        <v>535</v>
      </c>
      <c r="B536" s="49" t="s">
        <v>1133</v>
      </c>
      <c r="C536" s="49" t="s">
        <v>1134</v>
      </c>
      <c r="D536" s="53" t="s">
        <v>47</v>
      </c>
      <c r="E536" s="53" t="s">
        <v>105</v>
      </c>
      <c r="F536" s="45">
        <f t="shared" si="70"/>
        <v>0</v>
      </c>
      <c r="G536" s="58">
        <f t="shared" si="71"/>
        <v>0</v>
      </c>
      <c r="H536" s="5"/>
      <c r="I536" s="5"/>
      <c r="J536" s="5"/>
      <c r="K536" s="5"/>
      <c r="L536" s="5"/>
    </row>
    <row r="537" spans="1:16" ht="15.75" hidden="1" x14ac:dyDescent="0.25">
      <c r="A537" s="48">
        <v>536</v>
      </c>
      <c r="B537" s="49" t="s">
        <v>1135</v>
      </c>
      <c r="C537" s="49" t="s">
        <v>1136</v>
      </c>
      <c r="D537" s="53" t="s">
        <v>47</v>
      </c>
      <c r="E537" s="53" t="s">
        <v>48</v>
      </c>
      <c r="F537" s="45">
        <f t="shared" si="70"/>
        <v>30</v>
      </c>
      <c r="G537" s="58">
        <f t="shared" si="71"/>
        <v>0.5</v>
      </c>
      <c r="H537" s="5"/>
      <c r="I537" s="5"/>
      <c r="J537" s="5"/>
      <c r="K537" s="5"/>
      <c r="L537" s="5"/>
      <c r="P537" s="3">
        <v>30</v>
      </c>
    </row>
    <row r="538" spans="1:16" ht="15.75" hidden="1" x14ac:dyDescent="0.25">
      <c r="A538" s="48">
        <v>537</v>
      </c>
      <c r="B538" s="49" t="s">
        <v>1137</v>
      </c>
      <c r="C538" s="49" t="s">
        <v>1138</v>
      </c>
      <c r="D538" s="53" t="s">
        <v>47</v>
      </c>
      <c r="E538" s="53" t="s">
        <v>116</v>
      </c>
      <c r="F538" s="45">
        <f t="shared" si="70"/>
        <v>0</v>
      </c>
      <c r="G538" s="58">
        <f t="shared" si="71"/>
        <v>0</v>
      </c>
      <c r="H538" s="5"/>
      <c r="I538" s="5"/>
      <c r="J538" s="5"/>
      <c r="K538" s="5"/>
      <c r="L538" s="5"/>
    </row>
    <row r="539" spans="1:16" ht="15.75" hidden="1" x14ac:dyDescent="0.25">
      <c r="A539" s="48">
        <v>538</v>
      </c>
      <c r="B539" s="49" t="s">
        <v>1139</v>
      </c>
      <c r="C539" s="49" t="s">
        <v>1140</v>
      </c>
      <c r="D539" s="53" t="s">
        <v>47</v>
      </c>
      <c r="E539" s="53" t="s">
        <v>48</v>
      </c>
      <c r="F539" s="45">
        <f t="shared" si="70"/>
        <v>210</v>
      </c>
      <c r="G539" s="58">
        <f t="shared" si="71"/>
        <v>3.5</v>
      </c>
      <c r="H539" s="5">
        <v>90</v>
      </c>
      <c r="I539" s="5"/>
      <c r="J539" s="5">
        <v>60</v>
      </c>
      <c r="K539" s="5"/>
      <c r="L539" s="5">
        <v>60</v>
      </c>
    </row>
    <row r="540" spans="1:16" ht="15.75" hidden="1" x14ac:dyDescent="0.25">
      <c r="A540" s="48">
        <v>539</v>
      </c>
      <c r="B540" s="49" t="s">
        <v>1141</v>
      </c>
      <c r="C540" s="49" t="s">
        <v>1142</v>
      </c>
      <c r="D540" s="53" t="s">
        <v>47</v>
      </c>
      <c r="E540" s="53" t="s">
        <v>48</v>
      </c>
      <c r="F540" s="45">
        <f t="shared" si="70"/>
        <v>0</v>
      </c>
      <c r="G540" s="58">
        <f t="shared" si="71"/>
        <v>0</v>
      </c>
      <c r="H540" s="5"/>
      <c r="I540" s="5"/>
      <c r="J540" s="5"/>
      <c r="K540" s="5"/>
      <c r="L540" s="5"/>
    </row>
    <row r="541" spans="1:16" ht="15.75" hidden="1" x14ac:dyDescent="0.25">
      <c r="A541" s="48">
        <v>540</v>
      </c>
      <c r="B541" s="49" t="s">
        <v>1143</v>
      </c>
      <c r="C541" s="49" t="s">
        <v>1144</v>
      </c>
      <c r="D541" s="53" t="s">
        <v>47</v>
      </c>
      <c r="E541" s="53" t="s">
        <v>48</v>
      </c>
      <c r="F541" s="45">
        <f t="shared" si="70"/>
        <v>0</v>
      </c>
      <c r="G541" s="58">
        <f t="shared" si="71"/>
        <v>0</v>
      </c>
      <c r="H541" s="5"/>
      <c r="I541" s="5"/>
      <c r="J541" s="5"/>
      <c r="K541" s="5"/>
      <c r="L541" s="5"/>
    </row>
    <row r="542" spans="1:16" ht="15.75" hidden="1" x14ac:dyDescent="0.25">
      <c r="A542" s="48">
        <v>541</v>
      </c>
      <c r="B542" s="49" t="s">
        <v>1145</v>
      </c>
      <c r="C542" s="49" t="s">
        <v>1146</v>
      </c>
      <c r="D542" s="53" t="s">
        <v>47</v>
      </c>
      <c r="E542" s="53" t="s">
        <v>56</v>
      </c>
      <c r="F542" s="45">
        <f t="shared" si="70"/>
        <v>163</v>
      </c>
      <c r="G542" s="58">
        <f t="shared" si="71"/>
        <v>2.7166666666666668</v>
      </c>
      <c r="H542" s="5">
        <v>90</v>
      </c>
      <c r="I542" s="5">
        <v>73</v>
      </c>
      <c r="J542" s="5"/>
      <c r="K542" s="5"/>
      <c r="L542" s="5"/>
    </row>
    <row r="543" spans="1:16" ht="15.75" hidden="1" x14ac:dyDescent="0.25">
      <c r="A543" s="48">
        <v>542</v>
      </c>
      <c r="B543" s="49" t="s">
        <v>1147</v>
      </c>
      <c r="C543" s="49" t="s">
        <v>1148</v>
      </c>
      <c r="D543" s="53" t="s">
        <v>64</v>
      </c>
      <c r="E543" s="53" t="s">
        <v>65</v>
      </c>
      <c r="F543" s="45">
        <f t="shared" si="64"/>
        <v>0</v>
      </c>
      <c r="G543" s="58">
        <f t="shared" si="71"/>
        <v>0</v>
      </c>
      <c r="H543" s="5"/>
      <c r="I543" s="5"/>
      <c r="J543" s="5"/>
      <c r="K543" s="5"/>
      <c r="L543" s="5"/>
    </row>
    <row r="544" spans="1:16" ht="15.75" hidden="1" x14ac:dyDescent="0.25">
      <c r="A544" s="48">
        <v>543</v>
      </c>
      <c r="B544" s="49" t="s">
        <v>1149</v>
      </c>
      <c r="C544" s="49" t="s">
        <v>1150</v>
      </c>
      <c r="D544" s="53" t="s">
        <v>47</v>
      </c>
      <c r="E544" s="53" t="s">
        <v>48</v>
      </c>
      <c r="F544" s="45">
        <f t="shared" ref="F544:F551" si="72">SUM($H544:$P544)</f>
        <v>150</v>
      </c>
      <c r="G544" s="58">
        <f t="shared" si="71"/>
        <v>2.5</v>
      </c>
      <c r="H544" s="5"/>
      <c r="I544" s="5"/>
      <c r="J544" s="5"/>
      <c r="K544" s="5">
        <v>90</v>
      </c>
      <c r="L544" s="5">
        <v>60</v>
      </c>
    </row>
    <row r="545" spans="1:16" ht="15.75" hidden="1" x14ac:dyDescent="0.25">
      <c r="A545" s="48">
        <v>544</v>
      </c>
      <c r="B545" s="49" t="s">
        <v>1151</v>
      </c>
      <c r="C545" s="49" t="s">
        <v>1152</v>
      </c>
      <c r="D545" s="53" t="s">
        <v>47</v>
      </c>
      <c r="E545" s="53" t="s">
        <v>61</v>
      </c>
      <c r="F545" s="45">
        <f t="shared" si="72"/>
        <v>240</v>
      </c>
      <c r="G545" s="58">
        <f t="shared" si="71"/>
        <v>4</v>
      </c>
      <c r="H545" s="5"/>
      <c r="I545" s="5"/>
      <c r="J545" s="5">
        <v>60</v>
      </c>
      <c r="K545" s="5">
        <v>90</v>
      </c>
      <c r="L545" s="5"/>
      <c r="N545" s="3">
        <v>30</v>
      </c>
      <c r="O545" s="3">
        <v>30</v>
      </c>
      <c r="P545" s="3">
        <v>30</v>
      </c>
    </row>
    <row r="546" spans="1:16" ht="15.75" hidden="1" x14ac:dyDescent="0.25">
      <c r="A546" s="48">
        <v>545</v>
      </c>
      <c r="B546" s="49" t="s">
        <v>1153</v>
      </c>
      <c r="C546" s="49" t="s">
        <v>1154</v>
      </c>
      <c r="D546" s="53" t="s">
        <v>47</v>
      </c>
      <c r="E546" s="53" t="s">
        <v>51</v>
      </c>
      <c r="F546" s="45">
        <f t="shared" si="72"/>
        <v>0</v>
      </c>
      <c r="G546" s="58">
        <f t="shared" si="71"/>
        <v>0</v>
      </c>
      <c r="H546" s="5"/>
      <c r="I546" s="5"/>
      <c r="J546" s="5"/>
      <c r="K546" s="5"/>
      <c r="L546" s="5"/>
    </row>
    <row r="547" spans="1:16" ht="15.75" hidden="1" x14ac:dyDescent="0.25">
      <c r="A547" s="48">
        <v>546</v>
      </c>
      <c r="B547" s="49" t="s">
        <v>1155</v>
      </c>
      <c r="C547" s="49" t="s">
        <v>1156</v>
      </c>
      <c r="D547" s="53" t="s">
        <v>47</v>
      </c>
      <c r="E547" s="53" t="s">
        <v>105</v>
      </c>
      <c r="F547" s="45">
        <f t="shared" si="72"/>
        <v>0</v>
      </c>
      <c r="G547" s="58">
        <f t="shared" si="71"/>
        <v>0</v>
      </c>
      <c r="H547" s="5"/>
      <c r="I547" s="5"/>
      <c r="J547" s="5"/>
      <c r="K547" s="5"/>
      <c r="L547" s="5"/>
    </row>
    <row r="548" spans="1:16" ht="15.75" hidden="1" x14ac:dyDescent="0.25">
      <c r="A548" s="48">
        <v>547</v>
      </c>
      <c r="B548" s="49" t="s">
        <v>1157</v>
      </c>
      <c r="C548" s="49" t="s">
        <v>1158</v>
      </c>
      <c r="D548" s="53" t="s">
        <v>47</v>
      </c>
      <c r="E548" s="53" t="s">
        <v>56</v>
      </c>
      <c r="F548" s="45">
        <f t="shared" si="72"/>
        <v>150</v>
      </c>
      <c r="G548" s="58">
        <f t="shared" si="71"/>
        <v>2.5</v>
      </c>
      <c r="H548" s="5">
        <v>90</v>
      </c>
      <c r="I548" s="5"/>
      <c r="J548" s="5"/>
      <c r="K548" s="5"/>
      <c r="L548" s="5">
        <v>60</v>
      </c>
    </row>
    <row r="549" spans="1:16" ht="15.75" hidden="1" x14ac:dyDescent="0.25">
      <c r="A549" s="48">
        <v>548</v>
      </c>
      <c r="B549" s="49" t="s">
        <v>1159</v>
      </c>
      <c r="C549" s="49" t="s">
        <v>1160</v>
      </c>
      <c r="D549" s="53" t="s">
        <v>47</v>
      </c>
      <c r="E549" s="53" t="s">
        <v>48</v>
      </c>
      <c r="F549" s="45">
        <f t="shared" si="72"/>
        <v>90</v>
      </c>
      <c r="G549" s="58">
        <f t="shared" si="71"/>
        <v>1.5</v>
      </c>
      <c r="H549" s="5"/>
      <c r="I549" s="5"/>
      <c r="J549" s="5"/>
      <c r="K549" s="5"/>
      <c r="L549" s="5"/>
      <c r="M549" s="3">
        <v>30</v>
      </c>
      <c r="O549" s="3">
        <v>30</v>
      </c>
      <c r="P549" s="3">
        <v>30</v>
      </c>
    </row>
    <row r="550" spans="1:16" ht="15.75" hidden="1" x14ac:dyDescent="0.25">
      <c r="A550" s="48">
        <v>549</v>
      </c>
      <c r="B550" s="49" t="s">
        <v>1161</v>
      </c>
      <c r="C550" s="49" t="s">
        <v>1162</v>
      </c>
      <c r="D550" s="53" t="s">
        <v>47</v>
      </c>
      <c r="E550" s="53" t="s">
        <v>48</v>
      </c>
      <c r="F550" s="45">
        <f t="shared" si="72"/>
        <v>0</v>
      </c>
      <c r="G550" s="58">
        <f t="shared" si="71"/>
        <v>0</v>
      </c>
      <c r="H550" s="5"/>
      <c r="I550" s="5"/>
      <c r="J550" s="5"/>
      <c r="K550" s="5"/>
      <c r="L550" s="5"/>
    </row>
    <row r="551" spans="1:16" ht="15.75" hidden="1" x14ac:dyDescent="0.25">
      <c r="A551" s="48">
        <v>550</v>
      </c>
      <c r="B551" s="49" t="s">
        <v>1163</v>
      </c>
      <c r="C551" s="49" t="s">
        <v>1164</v>
      </c>
      <c r="D551" s="53" t="s">
        <v>47</v>
      </c>
      <c r="E551" s="53" t="s">
        <v>86</v>
      </c>
      <c r="F551" s="45">
        <f t="shared" si="72"/>
        <v>293</v>
      </c>
      <c r="G551" s="58">
        <f t="shared" si="71"/>
        <v>4.8833333333333337</v>
      </c>
      <c r="H551" s="5">
        <v>90</v>
      </c>
      <c r="I551" s="5">
        <v>83</v>
      </c>
      <c r="J551" s="5"/>
      <c r="K551" s="5"/>
      <c r="L551" s="5">
        <v>60</v>
      </c>
      <c r="N551" s="3">
        <v>30</v>
      </c>
      <c r="P551" s="3">
        <v>30</v>
      </c>
    </row>
    <row r="552" spans="1:16" ht="15.75" hidden="1" x14ac:dyDescent="0.25">
      <c r="A552" s="48">
        <v>551</v>
      </c>
      <c r="B552" s="49" t="s">
        <v>1165</v>
      </c>
      <c r="C552" s="49" t="s">
        <v>1166</v>
      </c>
      <c r="D552" s="53" t="s">
        <v>64</v>
      </c>
      <c r="E552" s="53" t="s">
        <v>65</v>
      </c>
      <c r="F552" s="45">
        <f t="shared" si="64"/>
        <v>0</v>
      </c>
      <c r="G552" s="58">
        <f t="shared" si="71"/>
        <v>0</v>
      </c>
      <c r="H552" s="5"/>
      <c r="I552" s="5"/>
      <c r="J552" s="5"/>
      <c r="K552" s="5"/>
      <c r="L552" s="5"/>
    </row>
    <row r="553" spans="1:16" ht="15.75" hidden="1" x14ac:dyDescent="0.25">
      <c r="A553" s="48">
        <v>552</v>
      </c>
      <c r="B553" s="49" t="s">
        <v>1167</v>
      </c>
      <c r="C553" s="49" t="s">
        <v>1168</v>
      </c>
      <c r="D553" s="53" t="s">
        <v>47</v>
      </c>
      <c r="E553" s="53" t="s">
        <v>116</v>
      </c>
      <c r="F553" s="45">
        <f t="shared" ref="F553:F559" si="73">SUM($H553:$P553)</f>
        <v>0</v>
      </c>
      <c r="G553" s="58">
        <f t="shared" si="71"/>
        <v>0</v>
      </c>
      <c r="H553" s="5"/>
      <c r="I553" s="5"/>
      <c r="J553" s="5"/>
      <c r="K553" s="5"/>
      <c r="L553" s="5"/>
    </row>
    <row r="554" spans="1:16" ht="15.75" hidden="1" x14ac:dyDescent="0.25">
      <c r="A554" s="48">
        <v>553</v>
      </c>
      <c r="B554" s="49" t="s">
        <v>1169</v>
      </c>
      <c r="C554" s="49" t="s">
        <v>1170</v>
      </c>
      <c r="D554" s="53" t="s">
        <v>47</v>
      </c>
      <c r="E554" s="53" t="s">
        <v>56</v>
      </c>
      <c r="F554" s="45">
        <f t="shared" si="73"/>
        <v>60</v>
      </c>
      <c r="G554" s="58">
        <f t="shared" si="71"/>
        <v>1</v>
      </c>
      <c r="H554" s="5"/>
      <c r="I554" s="5"/>
      <c r="J554" s="5"/>
      <c r="K554" s="5"/>
      <c r="L554" s="5"/>
      <c r="M554" s="3">
        <v>30</v>
      </c>
      <c r="P554" s="3">
        <v>30</v>
      </c>
    </row>
    <row r="555" spans="1:16" ht="15.75" hidden="1" x14ac:dyDescent="0.25">
      <c r="A555" s="48">
        <v>554</v>
      </c>
      <c r="B555" s="49" t="s">
        <v>1171</v>
      </c>
      <c r="C555" s="49" t="s">
        <v>1172</v>
      </c>
      <c r="D555" s="53" t="s">
        <v>47</v>
      </c>
      <c r="E555" s="53" t="s">
        <v>48</v>
      </c>
      <c r="F555" s="45">
        <f t="shared" si="73"/>
        <v>30</v>
      </c>
      <c r="G555" s="58">
        <f t="shared" si="71"/>
        <v>0.5</v>
      </c>
      <c r="H555" s="5"/>
      <c r="I555" s="5"/>
      <c r="J555" s="5"/>
      <c r="K555" s="5"/>
      <c r="L555" s="5"/>
      <c r="P555" s="3">
        <v>30</v>
      </c>
    </row>
    <row r="556" spans="1:16" ht="15.75" hidden="1" x14ac:dyDescent="0.25">
      <c r="A556" s="48">
        <v>555</v>
      </c>
      <c r="B556" s="49" t="s">
        <v>1173</v>
      </c>
      <c r="C556" s="49" t="s">
        <v>1174</v>
      </c>
      <c r="D556" s="53" t="s">
        <v>47</v>
      </c>
      <c r="E556" s="53" t="s">
        <v>56</v>
      </c>
      <c r="F556" s="45">
        <f t="shared" si="73"/>
        <v>0</v>
      </c>
      <c r="G556" s="58">
        <f t="shared" si="71"/>
        <v>0</v>
      </c>
      <c r="H556" s="5"/>
      <c r="I556" s="5"/>
      <c r="J556" s="5"/>
      <c r="K556" s="5"/>
      <c r="L556" s="5"/>
    </row>
    <row r="557" spans="1:16" ht="15.75" hidden="1" x14ac:dyDescent="0.25">
      <c r="A557" s="48">
        <v>556</v>
      </c>
      <c r="B557" s="49" t="s">
        <v>1175</v>
      </c>
      <c r="C557" s="49" t="s">
        <v>1176</v>
      </c>
      <c r="D557" s="53" t="s">
        <v>47</v>
      </c>
      <c r="E557" s="53" t="s">
        <v>116</v>
      </c>
      <c r="F557" s="45">
        <f t="shared" si="73"/>
        <v>0</v>
      </c>
      <c r="G557" s="58">
        <f t="shared" si="71"/>
        <v>0</v>
      </c>
      <c r="H557" s="5"/>
      <c r="I557" s="5"/>
      <c r="J557" s="5"/>
      <c r="K557" s="5"/>
      <c r="L557" s="5"/>
    </row>
    <row r="558" spans="1:16" ht="15.75" hidden="1" x14ac:dyDescent="0.25">
      <c r="A558" s="48">
        <v>557</v>
      </c>
      <c r="B558" s="49" t="s">
        <v>1177</v>
      </c>
      <c r="C558" s="49" t="s">
        <v>1178</v>
      </c>
      <c r="D558" s="53" t="s">
        <v>47</v>
      </c>
      <c r="E558" s="53" t="s">
        <v>48</v>
      </c>
      <c r="F558" s="45">
        <f t="shared" si="73"/>
        <v>90</v>
      </c>
      <c r="G558" s="58">
        <f t="shared" si="71"/>
        <v>1.5</v>
      </c>
      <c r="H558" s="5"/>
      <c r="I558" s="5"/>
      <c r="J558" s="5"/>
      <c r="K558" s="5">
        <v>90</v>
      </c>
      <c r="L558" s="5"/>
    </row>
    <row r="559" spans="1:16" ht="15.75" hidden="1" x14ac:dyDescent="0.25">
      <c r="A559" s="48">
        <v>558</v>
      </c>
      <c r="B559" s="49" t="s">
        <v>1179</v>
      </c>
      <c r="C559" s="49" t="s">
        <v>1180</v>
      </c>
      <c r="D559" s="53" t="s">
        <v>47</v>
      </c>
      <c r="E559" s="53" t="s">
        <v>56</v>
      </c>
      <c r="F559" s="45">
        <f t="shared" si="73"/>
        <v>0</v>
      </c>
      <c r="G559" s="58">
        <f t="shared" si="71"/>
        <v>0</v>
      </c>
      <c r="H559" s="5"/>
      <c r="I559" s="5"/>
      <c r="J559" s="5"/>
      <c r="K559" s="5"/>
      <c r="L559" s="5"/>
    </row>
    <row r="560" spans="1:16" ht="15.75" hidden="1" x14ac:dyDescent="0.25">
      <c r="A560" s="48">
        <v>559</v>
      </c>
      <c r="B560" s="49" t="s">
        <v>1181</v>
      </c>
      <c r="C560" s="49" t="s">
        <v>1182</v>
      </c>
      <c r="D560" s="53" t="s">
        <v>82</v>
      </c>
      <c r="E560" s="53" t="s">
        <v>140</v>
      </c>
      <c r="F560" s="45">
        <f t="shared" si="64"/>
        <v>0</v>
      </c>
      <c r="G560" s="58">
        <f t="shared" si="71"/>
        <v>0</v>
      </c>
      <c r="H560" s="5"/>
      <c r="I560" s="5"/>
      <c r="J560" s="5"/>
      <c r="K560" s="5"/>
      <c r="L560" s="5"/>
    </row>
    <row r="561" spans="1:16" ht="15.75" hidden="1" x14ac:dyDescent="0.25">
      <c r="A561" s="48">
        <v>560</v>
      </c>
      <c r="B561" s="49" t="s">
        <v>1183</v>
      </c>
      <c r="C561" s="49" t="s">
        <v>1184</v>
      </c>
      <c r="D561" s="53" t="s">
        <v>47</v>
      </c>
      <c r="E561" s="53" t="s">
        <v>51</v>
      </c>
      <c r="F561" s="45">
        <f>SUM($H561:$P561)</f>
        <v>150</v>
      </c>
      <c r="G561" s="58">
        <f t="shared" si="71"/>
        <v>2.5</v>
      </c>
      <c r="H561" s="5">
        <v>90</v>
      </c>
      <c r="I561" s="5"/>
      <c r="J561" s="5"/>
      <c r="K561" s="5"/>
      <c r="L561" s="5"/>
      <c r="N561" s="3">
        <v>30</v>
      </c>
      <c r="P561" s="3">
        <v>30</v>
      </c>
    </row>
    <row r="562" spans="1:16" ht="15.75" hidden="1" x14ac:dyDescent="0.25">
      <c r="A562" s="48">
        <v>561</v>
      </c>
      <c r="B562" s="49" t="s">
        <v>1185</v>
      </c>
      <c r="C562" s="49" t="s">
        <v>1186</v>
      </c>
      <c r="D562" s="53" t="s">
        <v>64</v>
      </c>
      <c r="E562" s="53" t="s">
        <v>186</v>
      </c>
      <c r="F562" s="45">
        <f t="shared" si="64"/>
        <v>0</v>
      </c>
      <c r="G562" s="58">
        <f t="shared" si="71"/>
        <v>0</v>
      </c>
      <c r="H562" s="5"/>
      <c r="I562" s="5"/>
      <c r="J562" s="5"/>
      <c r="K562" s="5"/>
      <c r="L562" s="5"/>
    </row>
    <row r="563" spans="1:16" ht="15.75" hidden="1" x14ac:dyDescent="0.25">
      <c r="A563" s="48">
        <v>562</v>
      </c>
      <c r="B563" s="49" t="s">
        <v>1187</v>
      </c>
      <c r="C563" s="49" t="s">
        <v>1188</v>
      </c>
      <c r="D563" s="53" t="s">
        <v>47</v>
      </c>
      <c r="E563" s="53" t="s">
        <v>48</v>
      </c>
      <c r="F563" s="45">
        <f t="shared" ref="F563:F566" si="74">SUM($H563:$P563)</f>
        <v>0</v>
      </c>
      <c r="G563" s="58">
        <f t="shared" si="71"/>
        <v>0</v>
      </c>
      <c r="H563" s="5"/>
      <c r="I563" s="5"/>
      <c r="J563" s="5"/>
      <c r="K563" s="5"/>
      <c r="L563" s="5"/>
    </row>
    <row r="564" spans="1:16" ht="15.75" hidden="1" x14ac:dyDescent="0.25">
      <c r="A564" s="48">
        <v>563</v>
      </c>
      <c r="B564" s="49" t="s">
        <v>1189</v>
      </c>
      <c r="C564" s="49" t="s">
        <v>1190</v>
      </c>
      <c r="D564" s="53" t="s">
        <v>47</v>
      </c>
      <c r="E564" s="53" t="s">
        <v>51</v>
      </c>
      <c r="F564" s="45">
        <f t="shared" si="74"/>
        <v>0</v>
      </c>
      <c r="G564" s="58">
        <f t="shared" si="71"/>
        <v>0</v>
      </c>
      <c r="H564" s="5"/>
      <c r="I564" s="5"/>
      <c r="J564" s="5"/>
      <c r="K564" s="5"/>
      <c r="L564" s="5"/>
    </row>
    <row r="565" spans="1:16" ht="15.75" hidden="1" x14ac:dyDescent="0.25">
      <c r="A565" s="48">
        <v>564</v>
      </c>
      <c r="B565" s="49" t="s">
        <v>1191</v>
      </c>
      <c r="C565" s="49" t="s">
        <v>1192</v>
      </c>
      <c r="D565" s="53" t="s">
        <v>47</v>
      </c>
      <c r="E565" s="53" t="s">
        <v>76</v>
      </c>
      <c r="F565" s="45">
        <f t="shared" si="74"/>
        <v>120</v>
      </c>
      <c r="G565" s="58">
        <f t="shared" si="71"/>
        <v>2</v>
      </c>
      <c r="H565" s="5"/>
      <c r="I565" s="5"/>
      <c r="J565" s="5"/>
      <c r="K565" s="5"/>
      <c r="L565" s="5"/>
      <c r="M565" s="3">
        <v>30</v>
      </c>
      <c r="N565" s="3">
        <v>30</v>
      </c>
      <c r="O565" s="3">
        <v>30</v>
      </c>
      <c r="P565" s="3">
        <v>30</v>
      </c>
    </row>
    <row r="566" spans="1:16" ht="15.75" hidden="1" x14ac:dyDescent="0.25">
      <c r="A566" s="48">
        <v>565</v>
      </c>
      <c r="B566" s="49" t="s">
        <v>1193</v>
      </c>
      <c r="C566" s="49" t="s">
        <v>1194</v>
      </c>
      <c r="D566" s="53" t="s">
        <v>47</v>
      </c>
      <c r="E566" s="53" t="s">
        <v>48</v>
      </c>
      <c r="F566" s="45">
        <f t="shared" si="74"/>
        <v>72</v>
      </c>
      <c r="G566" s="58">
        <f t="shared" si="71"/>
        <v>1.2</v>
      </c>
      <c r="H566" s="5"/>
      <c r="I566" s="5">
        <v>72</v>
      </c>
      <c r="J566" s="5"/>
      <c r="K566" s="5"/>
      <c r="L566" s="5"/>
    </row>
    <row r="567" spans="1:16" ht="15.75" hidden="1" x14ac:dyDescent="0.25">
      <c r="A567" s="48">
        <v>566</v>
      </c>
      <c r="B567" s="49" t="s">
        <v>1195</v>
      </c>
      <c r="C567" s="49" t="s">
        <v>1196</v>
      </c>
      <c r="D567" s="53" t="s">
        <v>64</v>
      </c>
      <c r="E567" s="53" t="s">
        <v>186</v>
      </c>
      <c r="F567" s="45">
        <f t="shared" si="64"/>
        <v>0</v>
      </c>
      <c r="G567" s="58">
        <f t="shared" si="71"/>
        <v>0</v>
      </c>
      <c r="H567" s="5"/>
      <c r="I567" s="5"/>
      <c r="J567" s="5"/>
      <c r="K567" s="5"/>
      <c r="L567" s="5"/>
    </row>
    <row r="568" spans="1:16" ht="15.75" hidden="1" x14ac:dyDescent="0.25">
      <c r="A568" s="48">
        <v>567</v>
      </c>
      <c r="B568" s="49" t="s">
        <v>1197</v>
      </c>
      <c r="C568" s="49" t="s">
        <v>1198</v>
      </c>
      <c r="D568" s="53" t="s">
        <v>47</v>
      </c>
      <c r="E568" s="53" t="s">
        <v>56</v>
      </c>
      <c r="F568" s="45">
        <f t="shared" ref="F568:F571" si="75">SUM($H568:$P568)</f>
        <v>0</v>
      </c>
      <c r="G568" s="58">
        <f t="shared" si="71"/>
        <v>0</v>
      </c>
      <c r="H568" s="5"/>
      <c r="I568" s="5"/>
      <c r="J568" s="5"/>
      <c r="K568" s="5"/>
      <c r="L568" s="5"/>
    </row>
    <row r="569" spans="1:16" ht="15.75" hidden="1" x14ac:dyDescent="0.25">
      <c r="A569" s="48">
        <v>568</v>
      </c>
      <c r="B569" s="49" t="s">
        <v>1199</v>
      </c>
      <c r="C569" s="49" t="s">
        <v>1200</v>
      </c>
      <c r="D569" s="53" t="s">
        <v>47</v>
      </c>
      <c r="E569" s="53" t="s">
        <v>51</v>
      </c>
      <c r="F569" s="45">
        <f t="shared" si="75"/>
        <v>0</v>
      </c>
      <c r="G569" s="58">
        <f t="shared" si="71"/>
        <v>0</v>
      </c>
      <c r="H569" s="5"/>
      <c r="I569" s="5"/>
      <c r="J569" s="5"/>
      <c r="K569" s="5"/>
      <c r="L569" s="5"/>
    </row>
    <row r="570" spans="1:16" ht="15.75" hidden="1" x14ac:dyDescent="0.25">
      <c r="A570" s="48">
        <v>569</v>
      </c>
      <c r="B570" s="49" t="s">
        <v>1201</v>
      </c>
      <c r="C570" s="49" t="s">
        <v>1202</v>
      </c>
      <c r="D570" s="53" t="s">
        <v>47</v>
      </c>
      <c r="E570" s="53" t="s">
        <v>105</v>
      </c>
      <c r="F570" s="45">
        <f t="shared" si="75"/>
        <v>159</v>
      </c>
      <c r="G570" s="58">
        <f t="shared" si="71"/>
        <v>2.65</v>
      </c>
      <c r="H570" s="5">
        <v>90</v>
      </c>
      <c r="I570" s="5">
        <v>69</v>
      </c>
      <c r="J570" s="5"/>
      <c r="K570" s="5"/>
      <c r="L570" s="5"/>
    </row>
    <row r="571" spans="1:16" ht="15.75" hidden="1" x14ac:dyDescent="0.25">
      <c r="A571" s="48">
        <v>570</v>
      </c>
      <c r="B571" s="49" t="s">
        <v>1203</v>
      </c>
      <c r="C571" s="49" t="s">
        <v>1204</v>
      </c>
      <c r="D571" s="53" t="s">
        <v>47</v>
      </c>
      <c r="E571" s="53" t="s">
        <v>116</v>
      </c>
      <c r="F571" s="45">
        <f t="shared" si="75"/>
        <v>0</v>
      </c>
      <c r="G571" s="58">
        <f t="shared" si="71"/>
        <v>0</v>
      </c>
      <c r="H571" s="5"/>
      <c r="I571" s="5"/>
      <c r="J571" s="5"/>
      <c r="K571" s="5"/>
      <c r="L571" s="5"/>
    </row>
    <row r="572" spans="1:16" ht="15.75" hidden="1" x14ac:dyDescent="0.25">
      <c r="A572" s="48">
        <v>571</v>
      </c>
      <c r="B572" s="49" t="s">
        <v>1205</v>
      </c>
      <c r="C572" s="49" t="s">
        <v>1206</v>
      </c>
      <c r="D572" s="53" t="s">
        <v>82</v>
      </c>
      <c r="E572" s="53" t="s">
        <v>83</v>
      </c>
      <c r="F572" s="45">
        <f t="shared" si="64"/>
        <v>0</v>
      </c>
      <c r="G572" s="58">
        <f t="shared" si="71"/>
        <v>0</v>
      </c>
      <c r="H572" s="5"/>
      <c r="I572" s="5"/>
      <c r="J572" s="5"/>
      <c r="K572" s="5"/>
      <c r="L572" s="5"/>
    </row>
    <row r="573" spans="1:16" ht="15.75" hidden="1" x14ac:dyDescent="0.25">
      <c r="A573" s="48">
        <v>572</v>
      </c>
      <c r="B573" s="49" t="s">
        <v>1207</v>
      </c>
      <c r="C573" s="49" t="s">
        <v>1208</v>
      </c>
      <c r="D573" s="53" t="s">
        <v>47</v>
      </c>
      <c r="E573" s="53" t="s">
        <v>205</v>
      </c>
      <c r="F573" s="45">
        <f t="shared" ref="F573:F581" si="76">SUM($H573:$P573)</f>
        <v>0</v>
      </c>
      <c r="G573" s="58">
        <f t="shared" si="71"/>
        <v>0</v>
      </c>
      <c r="H573" s="5"/>
      <c r="I573" s="5"/>
      <c r="J573" s="5"/>
      <c r="K573" s="5"/>
      <c r="L573" s="5"/>
    </row>
    <row r="574" spans="1:16" ht="15.75" hidden="1" x14ac:dyDescent="0.25">
      <c r="A574" s="48">
        <v>573</v>
      </c>
      <c r="B574" s="49" t="s">
        <v>1209</v>
      </c>
      <c r="C574" s="49" t="s">
        <v>1210</v>
      </c>
      <c r="D574" s="53" t="s">
        <v>47</v>
      </c>
      <c r="E574" s="53" t="s">
        <v>48</v>
      </c>
      <c r="F574" s="45">
        <f t="shared" si="76"/>
        <v>354</v>
      </c>
      <c r="G574" s="58">
        <f t="shared" si="71"/>
        <v>5.9</v>
      </c>
      <c r="H574" s="5"/>
      <c r="I574" s="5">
        <v>84</v>
      </c>
      <c r="J574" s="5"/>
      <c r="K574" s="5">
        <v>90</v>
      </c>
      <c r="L574" s="5">
        <v>60</v>
      </c>
      <c r="M574" s="3">
        <v>30</v>
      </c>
      <c r="N574" s="3">
        <v>30</v>
      </c>
      <c r="O574" s="3">
        <v>30</v>
      </c>
      <c r="P574" s="3">
        <v>30</v>
      </c>
    </row>
    <row r="575" spans="1:16" ht="15.75" hidden="1" x14ac:dyDescent="0.25">
      <c r="A575" s="48">
        <v>574</v>
      </c>
      <c r="B575" s="49" t="s">
        <v>1211</v>
      </c>
      <c r="C575" s="49" t="s">
        <v>1212</v>
      </c>
      <c r="D575" s="53" t="s">
        <v>47</v>
      </c>
      <c r="E575" s="53" t="s">
        <v>86</v>
      </c>
      <c r="F575" s="45">
        <f t="shared" si="76"/>
        <v>360</v>
      </c>
      <c r="G575" s="58">
        <f t="shared" si="71"/>
        <v>6</v>
      </c>
      <c r="H575" s="5">
        <v>90</v>
      </c>
      <c r="I575" s="5"/>
      <c r="J575" s="5">
        <v>60</v>
      </c>
      <c r="K575" s="5">
        <v>90</v>
      </c>
      <c r="L575" s="5"/>
      <c r="M575" s="3">
        <v>30</v>
      </c>
      <c r="N575" s="3">
        <v>30</v>
      </c>
      <c r="O575" s="3">
        <v>30</v>
      </c>
      <c r="P575" s="3">
        <v>30</v>
      </c>
    </row>
    <row r="576" spans="1:16" ht="15.75" hidden="1" x14ac:dyDescent="0.25">
      <c r="A576" s="48">
        <v>575</v>
      </c>
      <c r="B576" s="49" t="s">
        <v>1213</v>
      </c>
      <c r="C576" s="49" t="s">
        <v>1214</v>
      </c>
      <c r="D576" s="53" t="s">
        <v>47</v>
      </c>
      <c r="E576" s="53" t="s">
        <v>56</v>
      </c>
      <c r="F576" s="45">
        <f t="shared" si="76"/>
        <v>120</v>
      </c>
      <c r="G576" s="58">
        <f t="shared" si="71"/>
        <v>2</v>
      </c>
      <c r="H576" s="5"/>
      <c r="I576" s="5"/>
      <c r="J576" s="5"/>
      <c r="K576" s="5"/>
      <c r="L576" s="5"/>
      <c r="M576" s="3">
        <v>30</v>
      </c>
      <c r="N576" s="3">
        <v>30</v>
      </c>
      <c r="O576" s="3">
        <v>30</v>
      </c>
      <c r="P576" s="3">
        <v>30</v>
      </c>
    </row>
    <row r="577" spans="1:16" ht="15.75" hidden="1" x14ac:dyDescent="0.25">
      <c r="A577" s="48">
        <v>576</v>
      </c>
      <c r="B577" s="49" t="s">
        <v>1215</v>
      </c>
      <c r="C577" s="49" t="s">
        <v>1216</v>
      </c>
      <c r="D577" s="53" t="s">
        <v>47</v>
      </c>
      <c r="E577" s="53" t="s">
        <v>105</v>
      </c>
      <c r="F577" s="45">
        <f t="shared" si="76"/>
        <v>0</v>
      </c>
      <c r="G577" s="58">
        <f t="shared" si="71"/>
        <v>0</v>
      </c>
      <c r="H577" s="5"/>
      <c r="I577" s="5"/>
      <c r="J577" s="5"/>
      <c r="K577" s="5"/>
      <c r="L577" s="5"/>
    </row>
    <row r="578" spans="1:16" ht="15.75" hidden="1" x14ac:dyDescent="0.25">
      <c r="A578" s="48">
        <v>577</v>
      </c>
      <c r="B578" s="49" t="s">
        <v>1217</v>
      </c>
      <c r="C578" s="49" t="s">
        <v>1218</v>
      </c>
      <c r="D578" s="53" t="s">
        <v>47</v>
      </c>
      <c r="E578" s="53" t="s">
        <v>51</v>
      </c>
      <c r="F578" s="45">
        <f t="shared" si="76"/>
        <v>210</v>
      </c>
      <c r="G578" s="58">
        <f t="shared" si="71"/>
        <v>3.5</v>
      </c>
      <c r="H578" s="5"/>
      <c r="I578" s="5"/>
      <c r="J578" s="5"/>
      <c r="K578" s="5">
        <v>90</v>
      </c>
      <c r="L578" s="5"/>
      <c r="M578" s="3">
        <v>30</v>
      </c>
      <c r="N578" s="3">
        <v>30</v>
      </c>
      <c r="O578" s="3">
        <v>30</v>
      </c>
      <c r="P578" s="3">
        <v>30</v>
      </c>
    </row>
    <row r="579" spans="1:16" ht="15.75" hidden="1" x14ac:dyDescent="0.25">
      <c r="A579" s="48">
        <v>578</v>
      </c>
      <c r="B579" s="49" t="s">
        <v>1219</v>
      </c>
      <c r="C579" s="49" t="s">
        <v>1220</v>
      </c>
      <c r="D579" s="53" t="s">
        <v>47</v>
      </c>
      <c r="E579" s="53" t="s">
        <v>51</v>
      </c>
      <c r="F579" s="45">
        <f t="shared" si="76"/>
        <v>0</v>
      </c>
      <c r="G579" s="58">
        <f t="shared" si="71"/>
        <v>0</v>
      </c>
      <c r="H579" s="5"/>
      <c r="I579" s="5"/>
      <c r="J579" s="5"/>
      <c r="K579" s="5"/>
      <c r="L579" s="5"/>
    </row>
    <row r="580" spans="1:16" ht="15.75" hidden="1" x14ac:dyDescent="0.25">
      <c r="A580" s="48">
        <v>579</v>
      </c>
      <c r="B580" s="49" t="s">
        <v>1221</v>
      </c>
      <c r="C580" s="49" t="s">
        <v>1222</v>
      </c>
      <c r="D580" s="53" t="s">
        <v>47</v>
      </c>
      <c r="E580" s="53" t="s">
        <v>105</v>
      </c>
      <c r="F580" s="45">
        <f t="shared" si="76"/>
        <v>0</v>
      </c>
      <c r="G580" s="58">
        <f t="shared" si="71"/>
        <v>0</v>
      </c>
      <c r="H580" s="5"/>
      <c r="I580" s="5"/>
      <c r="J580" s="5"/>
      <c r="K580" s="5"/>
      <c r="L580" s="5"/>
    </row>
    <row r="581" spans="1:16" ht="15.75" hidden="1" x14ac:dyDescent="0.25">
      <c r="A581" s="48">
        <v>580</v>
      </c>
      <c r="B581" s="49" t="s">
        <v>1223</v>
      </c>
      <c r="C581" s="49" t="s">
        <v>1224</v>
      </c>
      <c r="D581" s="53" t="s">
        <v>47</v>
      </c>
      <c r="E581" s="53" t="s">
        <v>105</v>
      </c>
      <c r="F581" s="45">
        <f t="shared" si="76"/>
        <v>0</v>
      </c>
      <c r="G581" s="58">
        <f t="shared" si="71"/>
        <v>0</v>
      </c>
      <c r="H581" s="5"/>
      <c r="I581" s="5"/>
      <c r="J581" s="5"/>
      <c r="K581" s="5"/>
      <c r="L581" s="5"/>
    </row>
    <row r="582" spans="1:16" ht="15.75" hidden="1" x14ac:dyDescent="0.25">
      <c r="A582" s="48">
        <v>581</v>
      </c>
      <c r="B582" s="49" t="s">
        <v>1225</v>
      </c>
      <c r="C582" s="49" t="s">
        <v>1226</v>
      </c>
      <c r="D582" s="53" t="s">
        <v>82</v>
      </c>
      <c r="E582" s="53" t="s">
        <v>140</v>
      </c>
      <c r="F582" s="45">
        <f t="shared" ref="F582:F641" si="77">SUM($H582:$K582)</f>
        <v>116</v>
      </c>
      <c r="G582" s="58">
        <f t="shared" si="71"/>
        <v>1.9333333333333333</v>
      </c>
      <c r="H582" s="5">
        <v>90</v>
      </c>
      <c r="I582" s="5">
        <v>26</v>
      </c>
      <c r="J582" s="5"/>
      <c r="K582" s="5"/>
      <c r="L582" s="5"/>
    </row>
    <row r="583" spans="1:16" ht="15.75" hidden="1" x14ac:dyDescent="0.25">
      <c r="A583" s="48">
        <v>582</v>
      </c>
      <c r="B583" s="49" t="s">
        <v>1227</v>
      </c>
      <c r="C583" s="49" t="s">
        <v>1228</v>
      </c>
      <c r="D583" s="53" t="s">
        <v>47</v>
      </c>
      <c r="E583" s="53" t="s">
        <v>48</v>
      </c>
      <c r="F583" s="45">
        <f t="shared" ref="F583:F585" si="78">SUM($H583:$P583)</f>
        <v>0</v>
      </c>
      <c r="G583" s="58">
        <f t="shared" si="71"/>
        <v>0</v>
      </c>
      <c r="H583" s="5"/>
      <c r="I583" s="5"/>
      <c r="J583" s="5"/>
      <c r="K583" s="5"/>
      <c r="L583" s="5"/>
    </row>
    <row r="584" spans="1:16" ht="15.75" hidden="1" x14ac:dyDescent="0.25">
      <c r="A584" s="48">
        <v>583</v>
      </c>
      <c r="B584" s="49" t="s">
        <v>1229</v>
      </c>
      <c r="C584" s="49" t="s">
        <v>1230</v>
      </c>
      <c r="D584" s="53" t="s">
        <v>47</v>
      </c>
      <c r="E584" s="53" t="s">
        <v>48</v>
      </c>
      <c r="F584" s="45">
        <f t="shared" si="78"/>
        <v>60</v>
      </c>
      <c r="G584" s="58">
        <f t="shared" si="71"/>
        <v>1</v>
      </c>
      <c r="H584" s="5"/>
      <c r="I584" s="5"/>
      <c r="J584" s="5"/>
      <c r="K584" s="5"/>
      <c r="L584" s="5">
        <v>60</v>
      </c>
    </row>
    <row r="585" spans="1:16" ht="15.75" hidden="1" x14ac:dyDescent="0.25">
      <c r="A585" s="48">
        <v>584</v>
      </c>
      <c r="B585" s="49" t="s">
        <v>1231</v>
      </c>
      <c r="C585" s="49" t="s">
        <v>1232</v>
      </c>
      <c r="D585" s="53" t="s">
        <v>47</v>
      </c>
      <c r="E585" s="53" t="s">
        <v>79</v>
      </c>
      <c r="F585" s="45">
        <f t="shared" si="78"/>
        <v>0</v>
      </c>
      <c r="G585" s="58">
        <f t="shared" si="71"/>
        <v>0</v>
      </c>
      <c r="H585" s="5"/>
      <c r="I585" s="5"/>
      <c r="J585" s="5"/>
      <c r="K585" s="5"/>
      <c r="L585" s="5"/>
    </row>
    <row r="586" spans="1:16" ht="15.75" hidden="1" x14ac:dyDescent="0.25">
      <c r="A586" s="48">
        <v>585</v>
      </c>
      <c r="B586" s="49" t="s">
        <v>1233</v>
      </c>
      <c r="C586" s="49" t="s">
        <v>1234</v>
      </c>
      <c r="D586" s="53" t="s">
        <v>64</v>
      </c>
      <c r="E586" s="53" t="s">
        <v>186</v>
      </c>
      <c r="F586" s="45">
        <f t="shared" si="77"/>
        <v>0</v>
      </c>
      <c r="G586" s="58">
        <f t="shared" si="71"/>
        <v>0</v>
      </c>
      <c r="H586" s="5"/>
      <c r="I586" s="5"/>
      <c r="J586" s="5"/>
      <c r="K586" s="5"/>
      <c r="L586" s="5"/>
    </row>
    <row r="587" spans="1:16" ht="15.75" hidden="1" x14ac:dyDescent="0.25">
      <c r="A587" s="48">
        <v>586</v>
      </c>
      <c r="B587" s="49" t="s">
        <v>1235</v>
      </c>
      <c r="C587" s="49" t="s">
        <v>1236</v>
      </c>
      <c r="D587" s="53" t="s">
        <v>47</v>
      </c>
      <c r="E587" s="53" t="s">
        <v>48</v>
      </c>
      <c r="F587" s="45">
        <f t="shared" ref="F587:F595" si="79">SUM($H587:$P587)</f>
        <v>0</v>
      </c>
      <c r="G587" s="58">
        <f t="shared" si="71"/>
        <v>0</v>
      </c>
      <c r="H587" s="5"/>
      <c r="I587" s="5"/>
      <c r="J587" s="5"/>
      <c r="K587" s="5"/>
      <c r="L587" s="5"/>
    </row>
    <row r="588" spans="1:16" ht="15.75" hidden="1" x14ac:dyDescent="0.25">
      <c r="A588" s="48">
        <v>587</v>
      </c>
      <c r="B588" s="49" t="s">
        <v>1237</v>
      </c>
      <c r="C588" s="49" t="s">
        <v>1238</v>
      </c>
      <c r="D588" s="53" t="s">
        <v>47</v>
      </c>
      <c r="E588" s="53" t="s">
        <v>48</v>
      </c>
      <c r="F588" s="45">
        <f t="shared" si="79"/>
        <v>210</v>
      </c>
      <c r="G588" s="58">
        <f t="shared" si="71"/>
        <v>3.5</v>
      </c>
      <c r="H588" s="5"/>
      <c r="I588" s="5"/>
      <c r="J588" s="5"/>
      <c r="K588" s="5">
        <v>90</v>
      </c>
      <c r="L588" s="5">
        <v>60</v>
      </c>
      <c r="O588" s="3">
        <v>30</v>
      </c>
      <c r="P588" s="3">
        <v>30</v>
      </c>
    </row>
    <row r="589" spans="1:16" ht="15.75" hidden="1" x14ac:dyDescent="0.25">
      <c r="A589" s="48">
        <v>588</v>
      </c>
      <c r="B589" s="49" t="s">
        <v>1239</v>
      </c>
      <c r="C589" s="49" t="s">
        <v>1240</v>
      </c>
      <c r="D589" s="53" t="s">
        <v>47</v>
      </c>
      <c r="E589" s="53" t="s">
        <v>76</v>
      </c>
      <c r="F589" s="45">
        <f t="shared" si="79"/>
        <v>90</v>
      </c>
      <c r="G589" s="58">
        <f t="shared" si="71"/>
        <v>1.5</v>
      </c>
      <c r="H589" s="5"/>
      <c r="I589" s="5"/>
      <c r="J589" s="5"/>
      <c r="K589" s="5"/>
      <c r="L589" s="5"/>
      <c r="M589" s="3">
        <v>30</v>
      </c>
      <c r="N589" s="3">
        <v>30</v>
      </c>
      <c r="O589" s="3">
        <v>30</v>
      </c>
    </row>
    <row r="590" spans="1:16" ht="15.75" hidden="1" x14ac:dyDescent="0.25">
      <c r="A590" s="48">
        <v>589</v>
      </c>
      <c r="B590" s="49" t="s">
        <v>1241</v>
      </c>
      <c r="C590" s="49" t="s">
        <v>1242</v>
      </c>
      <c r="D590" s="53" t="s">
        <v>47</v>
      </c>
      <c r="E590" s="53" t="s">
        <v>48</v>
      </c>
      <c r="F590" s="45">
        <f t="shared" si="79"/>
        <v>210</v>
      </c>
      <c r="G590" s="58">
        <f t="shared" si="71"/>
        <v>3.5</v>
      </c>
      <c r="H590" s="5">
        <v>90</v>
      </c>
      <c r="I590" s="5"/>
      <c r="J590" s="5"/>
      <c r="K590" s="5"/>
      <c r="L590" s="5">
        <v>60</v>
      </c>
      <c r="O590" s="3">
        <v>30</v>
      </c>
      <c r="P590" s="3">
        <v>30</v>
      </c>
    </row>
    <row r="591" spans="1:16" ht="15.75" hidden="1" x14ac:dyDescent="0.25">
      <c r="A591" s="48">
        <v>590</v>
      </c>
      <c r="B591" s="49" t="s">
        <v>1243</v>
      </c>
      <c r="C591" s="49" t="s">
        <v>1244</v>
      </c>
      <c r="D591" s="53" t="s">
        <v>47</v>
      </c>
      <c r="E591" s="53" t="s">
        <v>51</v>
      </c>
      <c r="F591" s="45">
        <f t="shared" si="79"/>
        <v>341</v>
      </c>
      <c r="G591" s="58">
        <f t="shared" si="71"/>
        <v>5.6833333333333336</v>
      </c>
      <c r="H591" s="5">
        <v>90</v>
      </c>
      <c r="I591" s="5">
        <v>71</v>
      </c>
      <c r="J591" s="5"/>
      <c r="K591" s="5"/>
      <c r="L591" s="5">
        <v>60</v>
      </c>
      <c r="M591" s="3">
        <v>30</v>
      </c>
      <c r="N591" s="3">
        <v>30</v>
      </c>
      <c r="O591" s="3">
        <v>30</v>
      </c>
      <c r="P591" s="3">
        <v>30</v>
      </c>
    </row>
    <row r="592" spans="1:16" ht="15.75" hidden="1" x14ac:dyDescent="0.25">
      <c r="A592" s="48">
        <v>591</v>
      </c>
      <c r="B592" s="49" t="s">
        <v>1245</v>
      </c>
      <c r="C592" s="49" t="s">
        <v>1246</v>
      </c>
      <c r="D592" s="53" t="s">
        <v>47</v>
      </c>
      <c r="E592" s="53" t="s">
        <v>51</v>
      </c>
      <c r="F592" s="45">
        <f t="shared" si="79"/>
        <v>0</v>
      </c>
      <c r="G592" s="58">
        <f t="shared" si="71"/>
        <v>0</v>
      </c>
      <c r="H592" s="5"/>
      <c r="I592" s="5"/>
      <c r="J592" s="5"/>
      <c r="K592" s="5"/>
      <c r="L592" s="5"/>
    </row>
    <row r="593" spans="1:16" ht="15.75" hidden="1" x14ac:dyDescent="0.25">
      <c r="A593" s="48">
        <v>592</v>
      </c>
      <c r="B593" s="49" t="s">
        <v>1247</v>
      </c>
      <c r="C593" s="49" t="s">
        <v>1248</v>
      </c>
      <c r="D593" s="53" t="s">
        <v>47</v>
      </c>
      <c r="E593" s="53" t="s">
        <v>48</v>
      </c>
      <c r="F593" s="45">
        <f t="shared" si="79"/>
        <v>0</v>
      </c>
      <c r="G593" s="58">
        <f t="shared" si="71"/>
        <v>0</v>
      </c>
      <c r="H593" s="5"/>
      <c r="I593" s="5"/>
      <c r="J593" s="5"/>
      <c r="K593" s="5"/>
      <c r="L593" s="5"/>
    </row>
    <row r="594" spans="1:16" ht="15.75" hidden="1" x14ac:dyDescent="0.25">
      <c r="A594" s="48">
        <v>593</v>
      </c>
      <c r="B594" s="49" t="s">
        <v>1249</v>
      </c>
      <c r="C594" s="49" t="s">
        <v>1250</v>
      </c>
      <c r="D594" s="53" t="s">
        <v>47</v>
      </c>
      <c r="E594" s="53" t="s">
        <v>51</v>
      </c>
      <c r="F594" s="45">
        <f t="shared" si="79"/>
        <v>90</v>
      </c>
      <c r="G594" s="58">
        <f t="shared" si="71"/>
        <v>1.5</v>
      </c>
      <c r="H594" s="5"/>
      <c r="I594" s="5"/>
      <c r="J594" s="5">
        <v>60</v>
      </c>
      <c r="K594" s="5"/>
      <c r="L594" s="5"/>
      <c r="M594" s="3">
        <v>30</v>
      </c>
    </row>
    <row r="595" spans="1:16" ht="15.75" hidden="1" x14ac:dyDescent="0.25">
      <c r="A595" s="48">
        <v>594</v>
      </c>
      <c r="B595" s="49" t="s">
        <v>1251</v>
      </c>
      <c r="C595" s="49" t="s">
        <v>1252</v>
      </c>
      <c r="D595" s="53" t="s">
        <v>47</v>
      </c>
      <c r="E595" s="53" t="s">
        <v>105</v>
      </c>
      <c r="F595" s="45">
        <f t="shared" si="79"/>
        <v>90</v>
      </c>
      <c r="G595" s="58">
        <f t="shared" si="71"/>
        <v>1.5</v>
      </c>
      <c r="H595" s="5">
        <v>90</v>
      </c>
      <c r="I595" s="5"/>
      <c r="J595" s="5"/>
      <c r="K595" s="5"/>
      <c r="L595" s="5"/>
    </row>
    <row r="596" spans="1:16" ht="15.75" hidden="1" x14ac:dyDescent="0.25">
      <c r="A596" s="48">
        <v>595</v>
      </c>
      <c r="B596" s="49" t="s">
        <v>1253</v>
      </c>
      <c r="C596" s="49" t="s">
        <v>1254</v>
      </c>
      <c r="D596" s="53" t="s">
        <v>64</v>
      </c>
      <c r="E596" s="53" t="s">
        <v>186</v>
      </c>
      <c r="F596" s="45">
        <f t="shared" si="77"/>
        <v>0</v>
      </c>
      <c r="G596" s="58">
        <f t="shared" si="71"/>
        <v>0</v>
      </c>
      <c r="H596" s="5"/>
      <c r="I596" s="5"/>
      <c r="J596" s="5"/>
      <c r="K596" s="5"/>
      <c r="L596" s="5"/>
    </row>
    <row r="597" spans="1:16" ht="15.75" hidden="1" x14ac:dyDescent="0.25">
      <c r="A597" s="48">
        <v>596</v>
      </c>
      <c r="B597" s="49" t="s">
        <v>1255</v>
      </c>
      <c r="C597" s="49" t="s">
        <v>1256</v>
      </c>
      <c r="D597" s="53" t="s">
        <v>47</v>
      </c>
      <c r="E597" s="53" t="s">
        <v>48</v>
      </c>
      <c r="F597" s="45">
        <f t="shared" ref="F597:F602" si="80">SUM($H597:$P597)</f>
        <v>0</v>
      </c>
      <c r="G597" s="58">
        <f t="shared" si="71"/>
        <v>0</v>
      </c>
      <c r="H597" s="5"/>
      <c r="I597" s="5"/>
      <c r="J597" s="5"/>
      <c r="K597" s="5"/>
      <c r="L597" s="5"/>
    </row>
    <row r="598" spans="1:16" ht="15.75" hidden="1" x14ac:dyDescent="0.25">
      <c r="A598" s="48">
        <v>597</v>
      </c>
      <c r="B598" s="49" t="s">
        <v>1257</v>
      </c>
      <c r="C598" s="49" t="s">
        <v>1258</v>
      </c>
      <c r="D598" s="53" t="s">
        <v>47</v>
      </c>
      <c r="E598" s="53" t="s">
        <v>56</v>
      </c>
      <c r="F598" s="45">
        <f t="shared" si="80"/>
        <v>168</v>
      </c>
      <c r="G598" s="58">
        <f t="shared" ref="G598:G640" si="81">F598/60</f>
        <v>2.8</v>
      </c>
      <c r="H598" s="5"/>
      <c r="I598" s="5">
        <v>78</v>
      </c>
      <c r="J598" s="5"/>
      <c r="K598" s="5">
        <v>90</v>
      </c>
      <c r="L598" s="5"/>
    </row>
    <row r="599" spans="1:16" ht="15.75" hidden="1" x14ac:dyDescent="0.25">
      <c r="A599" s="48">
        <v>598</v>
      </c>
      <c r="B599" s="49" t="s">
        <v>1259</v>
      </c>
      <c r="C599" s="49" t="s">
        <v>1260</v>
      </c>
      <c r="D599" s="53" t="s">
        <v>47</v>
      </c>
      <c r="E599" s="53" t="s">
        <v>116</v>
      </c>
      <c r="F599" s="45">
        <f t="shared" si="80"/>
        <v>0</v>
      </c>
      <c r="G599" s="58">
        <f t="shared" si="81"/>
        <v>0</v>
      </c>
      <c r="H599" s="5"/>
      <c r="I599" s="5"/>
      <c r="J599" s="5"/>
      <c r="K599" s="5"/>
      <c r="L599" s="5"/>
    </row>
    <row r="600" spans="1:16" ht="15.75" hidden="1" x14ac:dyDescent="0.25">
      <c r="A600" s="48">
        <v>599</v>
      </c>
      <c r="B600" s="49" t="s">
        <v>1261</v>
      </c>
      <c r="C600" s="49" t="s">
        <v>1262</v>
      </c>
      <c r="D600" s="53" t="s">
        <v>47</v>
      </c>
      <c r="E600" s="53" t="s">
        <v>56</v>
      </c>
      <c r="F600" s="45">
        <f t="shared" si="80"/>
        <v>0</v>
      </c>
      <c r="G600" s="58">
        <f t="shared" si="81"/>
        <v>0</v>
      </c>
      <c r="H600" s="5"/>
      <c r="I600" s="5"/>
      <c r="J600" s="5"/>
      <c r="K600" s="5"/>
      <c r="L600" s="5"/>
    </row>
    <row r="601" spans="1:16" ht="15.75" hidden="1" x14ac:dyDescent="0.25">
      <c r="A601" s="48">
        <v>600</v>
      </c>
      <c r="B601" s="49" t="s">
        <v>1263</v>
      </c>
      <c r="C601" s="49" t="s">
        <v>1264</v>
      </c>
      <c r="D601" s="53" t="s">
        <v>47</v>
      </c>
      <c r="E601" s="53" t="s">
        <v>48</v>
      </c>
      <c r="F601" s="45">
        <f t="shared" si="80"/>
        <v>201</v>
      </c>
      <c r="G601" s="58">
        <f t="shared" si="81"/>
        <v>3.35</v>
      </c>
      <c r="H601" s="5"/>
      <c r="I601" s="5">
        <v>81</v>
      </c>
      <c r="J601" s="5"/>
      <c r="K601" s="5"/>
      <c r="L601" s="5"/>
      <c r="M601" s="3">
        <v>30</v>
      </c>
      <c r="N601" s="3">
        <v>30</v>
      </c>
      <c r="O601" s="3">
        <v>30</v>
      </c>
      <c r="P601" s="3">
        <v>30</v>
      </c>
    </row>
    <row r="602" spans="1:16" ht="15.75" hidden="1" x14ac:dyDescent="0.25">
      <c r="A602" s="48">
        <v>601</v>
      </c>
      <c r="B602" s="49" t="s">
        <v>1265</v>
      </c>
      <c r="C602" s="49" t="s">
        <v>1266</v>
      </c>
      <c r="D602" s="53" t="s">
        <v>47</v>
      </c>
      <c r="E602" s="53" t="s">
        <v>48</v>
      </c>
      <c r="F602" s="45">
        <f t="shared" si="80"/>
        <v>0</v>
      </c>
      <c r="G602" s="58">
        <f t="shared" si="81"/>
        <v>0</v>
      </c>
      <c r="H602" s="5"/>
      <c r="I602" s="5"/>
      <c r="J602" s="5"/>
      <c r="K602" s="5"/>
      <c r="L602" s="5"/>
    </row>
    <row r="603" spans="1:16" ht="15.75" hidden="1" x14ac:dyDescent="0.25">
      <c r="A603" s="48">
        <v>602</v>
      </c>
      <c r="B603" s="49" t="s">
        <v>1267</v>
      </c>
      <c r="C603" s="49" t="s">
        <v>1268</v>
      </c>
      <c r="D603" s="53" t="s">
        <v>82</v>
      </c>
      <c r="E603" s="53" t="s">
        <v>140</v>
      </c>
      <c r="F603" s="45">
        <f t="shared" si="77"/>
        <v>70</v>
      </c>
      <c r="G603" s="58">
        <f t="shared" si="81"/>
        <v>1.1666666666666667</v>
      </c>
      <c r="H603" s="5"/>
      <c r="I603" s="5">
        <v>70</v>
      </c>
      <c r="J603" s="5"/>
      <c r="K603" s="5"/>
      <c r="L603" s="5"/>
    </row>
    <row r="604" spans="1:16" ht="15.75" hidden="1" x14ac:dyDescent="0.25">
      <c r="A604" s="48">
        <v>603</v>
      </c>
      <c r="B604" s="49" t="s">
        <v>1269</v>
      </c>
      <c r="C604" s="49" t="s">
        <v>1270</v>
      </c>
      <c r="D604" s="53" t="s">
        <v>64</v>
      </c>
      <c r="E604" s="53" t="s">
        <v>65</v>
      </c>
      <c r="F604" s="45">
        <f t="shared" si="77"/>
        <v>180</v>
      </c>
      <c r="G604" s="58">
        <f t="shared" si="81"/>
        <v>3</v>
      </c>
      <c r="H604" s="5">
        <v>90</v>
      </c>
      <c r="I604" s="5"/>
      <c r="J604" s="5"/>
      <c r="K604" s="5">
        <v>90</v>
      </c>
      <c r="L604" s="5"/>
    </row>
    <row r="605" spans="1:16" ht="15.75" hidden="1" x14ac:dyDescent="0.25">
      <c r="A605" s="48">
        <v>604</v>
      </c>
      <c r="B605" s="49" t="s">
        <v>1271</v>
      </c>
      <c r="C605" s="49" t="s">
        <v>1272</v>
      </c>
      <c r="D605" s="53" t="s">
        <v>64</v>
      </c>
      <c r="E605" s="53" t="s">
        <v>65</v>
      </c>
      <c r="F605" s="45">
        <f t="shared" si="77"/>
        <v>0</v>
      </c>
      <c r="G605" s="58">
        <f t="shared" si="81"/>
        <v>0</v>
      </c>
      <c r="H605" s="5"/>
      <c r="I605" s="5"/>
      <c r="J605" s="5"/>
      <c r="K605" s="5"/>
      <c r="L605" s="5"/>
    </row>
    <row r="606" spans="1:16" ht="15.75" hidden="1" x14ac:dyDescent="0.25">
      <c r="A606" s="48">
        <v>605</v>
      </c>
      <c r="B606" s="49" t="s">
        <v>1273</v>
      </c>
      <c r="C606" s="49" t="s">
        <v>1274</v>
      </c>
      <c r="D606" s="53" t="s">
        <v>47</v>
      </c>
      <c r="E606" s="53" t="s">
        <v>51</v>
      </c>
      <c r="F606" s="45">
        <f t="shared" ref="F606:F607" si="82">SUM($H606:$P606)</f>
        <v>351</v>
      </c>
      <c r="G606" s="58">
        <f t="shared" si="81"/>
        <v>5.85</v>
      </c>
      <c r="H606" s="5"/>
      <c r="I606" s="5">
        <v>81</v>
      </c>
      <c r="J606" s="5">
        <v>60</v>
      </c>
      <c r="K606" s="5">
        <v>90</v>
      </c>
      <c r="L606" s="5"/>
      <c r="M606" s="3">
        <v>30</v>
      </c>
      <c r="N606" s="3">
        <v>30</v>
      </c>
      <c r="O606" s="3">
        <v>30</v>
      </c>
      <c r="P606" s="3">
        <v>30</v>
      </c>
    </row>
    <row r="607" spans="1:16" ht="15.75" hidden="1" x14ac:dyDescent="0.25">
      <c r="A607" s="48">
        <v>606</v>
      </c>
      <c r="B607" s="49" t="s">
        <v>1275</v>
      </c>
      <c r="C607" s="49" t="s">
        <v>1276</v>
      </c>
      <c r="D607" s="53" t="s">
        <v>47</v>
      </c>
      <c r="E607" s="53" t="s">
        <v>61</v>
      </c>
      <c r="F607" s="45">
        <f t="shared" si="82"/>
        <v>90</v>
      </c>
      <c r="G607" s="58">
        <f t="shared" si="81"/>
        <v>1.5</v>
      </c>
      <c r="H607" s="5">
        <v>90</v>
      </c>
      <c r="I607" s="5"/>
      <c r="J607" s="5"/>
      <c r="K607" s="5"/>
      <c r="L607" s="5"/>
    </row>
    <row r="608" spans="1:16" ht="15.75" hidden="1" x14ac:dyDescent="0.25">
      <c r="A608" s="48">
        <v>607</v>
      </c>
      <c r="B608" s="49" t="s">
        <v>1277</v>
      </c>
      <c r="C608" s="49" t="s">
        <v>1278</v>
      </c>
      <c r="D608" s="53" t="s">
        <v>82</v>
      </c>
      <c r="E608" s="53" t="s">
        <v>140</v>
      </c>
      <c r="F608" s="45">
        <f t="shared" si="77"/>
        <v>0</v>
      </c>
      <c r="G608" s="58">
        <f t="shared" si="81"/>
        <v>0</v>
      </c>
      <c r="H608" s="5"/>
      <c r="I608" s="5"/>
      <c r="J608" s="5"/>
      <c r="K608" s="5"/>
      <c r="L608" s="5"/>
    </row>
    <row r="609" spans="1:16" ht="15.75" hidden="1" x14ac:dyDescent="0.25">
      <c r="A609" s="48">
        <v>608</v>
      </c>
      <c r="B609" s="49" t="s">
        <v>1279</v>
      </c>
      <c r="C609" s="49" t="s">
        <v>1280</v>
      </c>
      <c r="D609" s="53" t="s">
        <v>47</v>
      </c>
      <c r="E609" s="53" t="s">
        <v>105</v>
      </c>
      <c r="F609" s="45">
        <f>SUM($H609:$P609)</f>
        <v>0</v>
      </c>
      <c r="G609" s="58">
        <f t="shared" si="81"/>
        <v>0</v>
      </c>
      <c r="H609" s="5"/>
      <c r="I609" s="5"/>
      <c r="J609" s="5"/>
      <c r="K609" s="5"/>
      <c r="L609" s="5"/>
    </row>
    <row r="610" spans="1:16" ht="15.75" hidden="1" x14ac:dyDescent="0.25">
      <c r="A610" s="48">
        <v>609</v>
      </c>
      <c r="B610" s="49" t="s">
        <v>1281</v>
      </c>
      <c r="C610" s="49" t="s">
        <v>1282</v>
      </c>
      <c r="D610" s="53" t="s">
        <v>64</v>
      </c>
      <c r="E610" s="53" t="s">
        <v>186</v>
      </c>
      <c r="F610" s="45">
        <f t="shared" si="77"/>
        <v>0</v>
      </c>
      <c r="G610" s="58">
        <f t="shared" si="81"/>
        <v>0</v>
      </c>
      <c r="H610" s="5"/>
      <c r="I610" s="5"/>
      <c r="J610" s="5"/>
      <c r="K610" s="5"/>
      <c r="L610" s="5"/>
    </row>
    <row r="611" spans="1:16" ht="15.75" hidden="1" x14ac:dyDescent="0.25">
      <c r="A611" s="48">
        <v>610</v>
      </c>
      <c r="B611" s="49" t="s">
        <v>1283</v>
      </c>
      <c r="C611" s="49" t="s">
        <v>1284</v>
      </c>
      <c r="D611" s="53" t="s">
        <v>47</v>
      </c>
      <c r="E611" s="53" t="s">
        <v>48</v>
      </c>
      <c r="F611" s="45">
        <f t="shared" ref="F611:F640" si="83">SUM($H611:$P611)</f>
        <v>60</v>
      </c>
      <c r="G611" s="58">
        <f t="shared" si="81"/>
        <v>1</v>
      </c>
      <c r="H611" s="5"/>
      <c r="I611" s="5"/>
      <c r="J611" s="5"/>
      <c r="K611" s="5"/>
      <c r="L611" s="5"/>
      <c r="O611" s="3">
        <v>30</v>
      </c>
      <c r="P611" s="3">
        <v>30</v>
      </c>
    </row>
    <row r="612" spans="1:16" ht="15.75" hidden="1" x14ac:dyDescent="0.25">
      <c r="A612" s="48">
        <v>611</v>
      </c>
      <c r="B612" s="49" t="s">
        <v>1285</v>
      </c>
      <c r="C612" s="49" t="s">
        <v>1286</v>
      </c>
      <c r="D612" s="53" t="s">
        <v>47</v>
      </c>
      <c r="E612" s="53" t="s">
        <v>105</v>
      </c>
      <c r="F612" s="45">
        <f t="shared" si="83"/>
        <v>90</v>
      </c>
      <c r="G612" s="58">
        <f t="shared" si="81"/>
        <v>1.5</v>
      </c>
      <c r="H612" s="5">
        <v>90</v>
      </c>
      <c r="I612" s="5"/>
      <c r="J612" s="5"/>
      <c r="K612" s="5"/>
      <c r="L612" s="5"/>
    </row>
    <row r="613" spans="1:16" ht="15.75" hidden="1" x14ac:dyDescent="0.25">
      <c r="A613" s="48">
        <v>612</v>
      </c>
      <c r="B613" s="49" t="s">
        <v>1287</v>
      </c>
      <c r="C613" s="49" t="s">
        <v>1288</v>
      </c>
      <c r="D613" s="53" t="s">
        <v>47</v>
      </c>
      <c r="E613" s="53" t="s">
        <v>105</v>
      </c>
      <c r="F613" s="45">
        <f t="shared" si="83"/>
        <v>0</v>
      </c>
      <c r="G613" s="58">
        <f t="shared" si="81"/>
        <v>0</v>
      </c>
      <c r="H613" s="5"/>
      <c r="I613" s="5"/>
      <c r="J613" s="5"/>
      <c r="K613" s="5"/>
      <c r="L613" s="5"/>
    </row>
    <row r="614" spans="1:16" ht="15.75" hidden="1" x14ac:dyDescent="0.25">
      <c r="A614" s="48">
        <v>613</v>
      </c>
      <c r="B614" s="49" t="s">
        <v>1289</v>
      </c>
      <c r="C614" s="49" t="s">
        <v>1290</v>
      </c>
      <c r="D614" s="53" t="s">
        <v>47</v>
      </c>
      <c r="E614" s="53" t="s">
        <v>48</v>
      </c>
      <c r="F614" s="45">
        <f t="shared" si="83"/>
        <v>150</v>
      </c>
      <c r="G614" s="58">
        <f t="shared" si="81"/>
        <v>2.5</v>
      </c>
      <c r="H614" s="5"/>
      <c r="I614" s="5"/>
      <c r="J614" s="5">
        <v>60</v>
      </c>
      <c r="K614" s="5">
        <v>90</v>
      </c>
      <c r="L614" s="5"/>
    </row>
    <row r="615" spans="1:16" ht="15.75" hidden="1" x14ac:dyDescent="0.25">
      <c r="A615" s="48">
        <v>614</v>
      </c>
      <c r="B615" s="49" t="s">
        <v>1291</v>
      </c>
      <c r="C615" s="49" t="s">
        <v>1292</v>
      </c>
      <c r="D615" s="53" t="s">
        <v>47</v>
      </c>
      <c r="E615" s="53" t="s">
        <v>105</v>
      </c>
      <c r="F615" s="45">
        <f t="shared" si="83"/>
        <v>0</v>
      </c>
      <c r="G615" s="58">
        <f t="shared" si="81"/>
        <v>0</v>
      </c>
      <c r="H615" s="5"/>
      <c r="I615" s="5"/>
      <c r="J615" s="5"/>
      <c r="K615" s="5"/>
      <c r="L615" s="5"/>
    </row>
    <row r="616" spans="1:16" ht="15.75" hidden="1" x14ac:dyDescent="0.25">
      <c r="A616" s="48">
        <v>615</v>
      </c>
      <c r="B616" s="49" t="s">
        <v>1293</v>
      </c>
      <c r="C616" s="49" t="s">
        <v>1294</v>
      </c>
      <c r="D616" s="53" t="s">
        <v>47</v>
      </c>
      <c r="E616" s="53" t="s">
        <v>86</v>
      </c>
      <c r="F616" s="45">
        <f t="shared" si="83"/>
        <v>0</v>
      </c>
      <c r="G616" s="58">
        <f t="shared" si="81"/>
        <v>0</v>
      </c>
      <c r="H616" s="5"/>
      <c r="I616" s="5"/>
      <c r="J616" s="5"/>
      <c r="K616" s="5"/>
      <c r="L616" s="5"/>
    </row>
    <row r="617" spans="1:16" ht="15.75" hidden="1" x14ac:dyDescent="0.25">
      <c r="A617" s="48">
        <v>616</v>
      </c>
      <c r="B617" s="49" t="s">
        <v>1295</v>
      </c>
      <c r="C617" s="49" t="s">
        <v>1296</v>
      </c>
      <c r="D617" s="53" t="s">
        <v>47</v>
      </c>
      <c r="E617" s="53" t="s">
        <v>79</v>
      </c>
      <c r="F617" s="45">
        <f t="shared" si="83"/>
        <v>113</v>
      </c>
      <c r="G617" s="58">
        <f t="shared" si="81"/>
        <v>1.8833333333333333</v>
      </c>
      <c r="H617" s="5"/>
      <c r="I617" s="5">
        <v>53</v>
      </c>
      <c r="J617" s="5"/>
      <c r="K617" s="5"/>
      <c r="L617" s="5"/>
      <c r="M617" s="3">
        <v>30</v>
      </c>
      <c r="N617" s="3">
        <v>30</v>
      </c>
    </row>
    <row r="618" spans="1:16" ht="15.75" hidden="1" x14ac:dyDescent="0.25">
      <c r="A618" s="48">
        <v>617</v>
      </c>
      <c r="B618" s="49" t="s">
        <v>1297</v>
      </c>
      <c r="C618" s="49" t="s">
        <v>1298</v>
      </c>
      <c r="D618" s="53" t="s">
        <v>47</v>
      </c>
      <c r="E618" s="53" t="s">
        <v>48</v>
      </c>
      <c r="F618" s="45">
        <f t="shared" si="83"/>
        <v>90</v>
      </c>
      <c r="G618" s="58">
        <f t="shared" si="81"/>
        <v>1.5</v>
      </c>
      <c r="H618" s="5"/>
      <c r="I618" s="5"/>
      <c r="J618" s="5"/>
      <c r="K618" s="5"/>
      <c r="L618" s="5"/>
      <c r="N618" s="3">
        <v>30</v>
      </c>
      <c r="O618" s="3">
        <v>30</v>
      </c>
      <c r="P618" s="3">
        <v>30</v>
      </c>
    </row>
    <row r="619" spans="1:16" ht="15.75" hidden="1" x14ac:dyDescent="0.25">
      <c r="A619" s="48">
        <v>618</v>
      </c>
      <c r="B619" s="49" t="s">
        <v>1299</v>
      </c>
      <c r="C619" s="49" t="s">
        <v>1300</v>
      </c>
      <c r="D619" s="53" t="s">
        <v>47</v>
      </c>
      <c r="E619" s="53" t="s">
        <v>48</v>
      </c>
      <c r="F619" s="45">
        <f t="shared" si="83"/>
        <v>30</v>
      </c>
      <c r="G619" s="58">
        <f t="shared" si="81"/>
        <v>0.5</v>
      </c>
      <c r="H619" s="5"/>
      <c r="I619" s="5"/>
      <c r="J619" s="5"/>
      <c r="K619" s="5"/>
      <c r="L619" s="5"/>
      <c r="O619" s="3">
        <v>30</v>
      </c>
    </row>
    <row r="620" spans="1:16" ht="15.75" hidden="1" x14ac:dyDescent="0.25">
      <c r="A620" s="48">
        <v>619</v>
      </c>
      <c r="B620" s="49" t="s">
        <v>1301</v>
      </c>
      <c r="C620" s="49" t="s">
        <v>1302</v>
      </c>
      <c r="D620" s="53" t="s">
        <v>47</v>
      </c>
      <c r="E620" s="53" t="s">
        <v>56</v>
      </c>
      <c r="F620" s="45">
        <f t="shared" si="83"/>
        <v>0</v>
      </c>
      <c r="G620" s="58">
        <f t="shared" si="81"/>
        <v>0</v>
      </c>
      <c r="H620" s="5"/>
      <c r="I620" s="5"/>
      <c r="J620" s="5"/>
      <c r="K620" s="5"/>
      <c r="L620" s="5"/>
    </row>
    <row r="621" spans="1:16" ht="15.75" hidden="1" x14ac:dyDescent="0.25">
      <c r="A621" s="48">
        <v>620</v>
      </c>
      <c r="B621" s="49" t="s">
        <v>1303</v>
      </c>
      <c r="C621" s="49" t="s">
        <v>1304</v>
      </c>
      <c r="D621" s="53" t="s">
        <v>47</v>
      </c>
      <c r="E621" s="53" t="s">
        <v>48</v>
      </c>
      <c r="F621" s="45">
        <f t="shared" si="83"/>
        <v>90</v>
      </c>
      <c r="G621" s="58">
        <f t="shared" si="81"/>
        <v>1.5</v>
      </c>
      <c r="H621" s="5"/>
      <c r="I621" s="5"/>
      <c r="J621" s="5"/>
      <c r="K621" s="5"/>
      <c r="L621" s="5"/>
      <c r="M621" s="3">
        <v>30</v>
      </c>
      <c r="O621" s="3">
        <v>30</v>
      </c>
      <c r="P621" s="3">
        <v>30</v>
      </c>
    </row>
    <row r="622" spans="1:16" ht="15.75" hidden="1" x14ac:dyDescent="0.25">
      <c r="A622" s="48">
        <v>621</v>
      </c>
      <c r="B622" s="49" t="s">
        <v>1305</v>
      </c>
      <c r="C622" s="49" t="s">
        <v>1306</v>
      </c>
      <c r="D622" s="53" t="s">
        <v>47</v>
      </c>
      <c r="E622" s="53" t="s">
        <v>51</v>
      </c>
      <c r="F622" s="45">
        <f t="shared" si="83"/>
        <v>30</v>
      </c>
      <c r="G622" s="58">
        <f t="shared" si="81"/>
        <v>0.5</v>
      </c>
      <c r="H622" s="5"/>
      <c r="I622" s="5"/>
      <c r="J622" s="5"/>
      <c r="K622" s="5"/>
      <c r="L622" s="5"/>
      <c r="P622" s="3">
        <v>30</v>
      </c>
    </row>
    <row r="623" spans="1:16" ht="15.75" hidden="1" x14ac:dyDescent="0.25">
      <c r="A623" s="48">
        <v>622</v>
      </c>
      <c r="B623" s="49" t="s">
        <v>1307</v>
      </c>
      <c r="C623" s="49" t="s">
        <v>1308</v>
      </c>
      <c r="D623" s="53" t="s">
        <v>47</v>
      </c>
      <c r="E623" s="53" t="s">
        <v>205</v>
      </c>
      <c r="F623" s="45">
        <f t="shared" si="83"/>
        <v>30</v>
      </c>
      <c r="G623" s="58">
        <f t="shared" si="81"/>
        <v>0.5</v>
      </c>
      <c r="H623" s="5"/>
      <c r="I623" s="5"/>
      <c r="J623" s="5"/>
      <c r="K623" s="5"/>
      <c r="L623" s="5"/>
      <c r="N623" s="3">
        <v>30</v>
      </c>
    </row>
    <row r="624" spans="1:16" ht="15.75" hidden="1" x14ac:dyDescent="0.25">
      <c r="A624" s="48">
        <v>623</v>
      </c>
      <c r="B624" s="49" t="s">
        <v>1309</v>
      </c>
      <c r="C624" s="49" t="s">
        <v>1310</v>
      </c>
      <c r="D624" s="53" t="s">
        <v>47</v>
      </c>
      <c r="E624" s="53" t="s">
        <v>48</v>
      </c>
      <c r="F624" s="45">
        <f t="shared" si="83"/>
        <v>30</v>
      </c>
      <c r="G624" s="58">
        <f t="shared" si="81"/>
        <v>0.5</v>
      </c>
      <c r="H624" s="5"/>
      <c r="I624" s="5"/>
      <c r="J624" s="5"/>
      <c r="K624" s="5"/>
      <c r="L624" s="5"/>
      <c r="P624" s="3">
        <v>30</v>
      </c>
    </row>
    <row r="625" spans="1:16" ht="15.75" hidden="1" x14ac:dyDescent="0.25">
      <c r="A625" s="48">
        <v>624</v>
      </c>
      <c r="B625" s="49" t="s">
        <v>1311</v>
      </c>
      <c r="C625" s="49" t="s">
        <v>1312</v>
      </c>
      <c r="D625" s="53" t="s">
        <v>47</v>
      </c>
      <c r="E625" s="53" t="s">
        <v>48</v>
      </c>
      <c r="F625" s="45">
        <f t="shared" si="83"/>
        <v>270</v>
      </c>
      <c r="G625" s="58">
        <f t="shared" si="81"/>
        <v>4.5</v>
      </c>
      <c r="H625" s="5"/>
      <c r="I625" s="5"/>
      <c r="J625" s="5">
        <v>60</v>
      </c>
      <c r="K625" s="5">
        <v>90</v>
      </c>
      <c r="L625" s="5"/>
      <c r="M625" s="3">
        <v>30</v>
      </c>
      <c r="N625" s="3">
        <v>30</v>
      </c>
      <c r="O625" s="3">
        <v>30</v>
      </c>
      <c r="P625" s="3">
        <v>30</v>
      </c>
    </row>
    <row r="626" spans="1:16" ht="15.75" hidden="1" x14ac:dyDescent="0.25">
      <c r="A626" s="48">
        <v>625</v>
      </c>
      <c r="B626" s="49" t="s">
        <v>1313</v>
      </c>
      <c r="C626" s="49" t="s">
        <v>1314</v>
      </c>
      <c r="D626" s="53" t="s">
        <v>47</v>
      </c>
      <c r="E626" s="53" t="s">
        <v>48</v>
      </c>
      <c r="F626" s="45">
        <f t="shared" si="83"/>
        <v>0</v>
      </c>
      <c r="G626" s="58">
        <f t="shared" si="81"/>
        <v>0</v>
      </c>
      <c r="H626" s="5"/>
      <c r="I626" s="5"/>
      <c r="J626" s="5"/>
      <c r="K626" s="5"/>
      <c r="L626" s="5"/>
    </row>
    <row r="627" spans="1:16" ht="15.75" hidden="1" x14ac:dyDescent="0.25">
      <c r="A627" s="48">
        <v>626</v>
      </c>
      <c r="B627" s="49" t="s">
        <v>1315</v>
      </c>
      <c r="C627" s="49" t="s">
        <v>1316</v>
      </c>
      <c r="D627" s="53" t="s">
        <v>47</v>
      </c>
      <c r="E627" s="53" t="s">
        <v>105</v>
      </c>
      <c r="F627" s="45">
        <f t="shared" si="83"/>
        <v>0</v>
      </c>
      <c r="G627" s="58">
        <f t="shared" si="81"/>
        <v>0</v>
      </c>
      <c r="H627" s="5"/>
      <c r="I627" s="5"/>
      <c r="J627" s="5"/>
      <c r="K627" s="5"/>
      <c r="L627" s="5"/>
    </row>
    <row r="628" spans="1:16" ht="15.75" hidden="1" x14ac:dyDescent="0.25">
      <c r="A628" s="48">
        <v>627</v>
      </c>
      <c r="B628" s="49" t="s">
        <v>1317</v>
      </c>
      <c r="C628" s="49" t="s">
        <v>1318</v>
      </c>
      <c r="D628" s="53" t="s">
        <v>47</v>
      </c>
      <c r="E628" s="53" t="s">
        <v>86</v>
      </c>
      <c r="F628" s="45">
        <f t="shared" si="83"/>
        <v>0</v>
      </c>
      <c r="G628" s="58">
        <f t="shared" si="81"/>
        <v>0</v>
      </c>
      <c r="H628" s="5"/>
      <c r="I628" s="5"/>
      <c r="J628" s="5"/>
      <c r="K628" s="5"/>
      <c r="L628" s="5"/>
    </row>
    <row r="629" spans="1:16" ht="15.75" hidden="1" x14ac:dyDescent="0.25">
      <c r="A629" s="48">
        <v>628</v>
      </c>
      <c r="B629" s="49" t="s">
        <v>1319</v>
      </c>
      <c r="C629" s="49" t="s">
        <v>1320</v>
      </c>
      <c r="D629" s="53" t="s">
        <v>47</v>
      </c>
      <c r="E629" s="53" t="s">
        <v>48</v>
      </c>
      <c r="F629" s="45">
        <f t="shared" si="83"/>
        <v>0</v>
      </c>
      <c r="G629" s="58">
        <f t="shared" si="81"/>
        <v>0</v>
      </c>
      <c r="H629" s="5"/>
      <c r="I629" s="5"/>
      <c r="J629" s="5"/>
      <c r="K629" s="5"/>
      <c r="L629" s="5"/>
    </row>
    <row r="630" spans="1:16" ht="15.75" hidden="1" x14ac:dyDescent="0.25">
      <c r="A630" s="48">
        <v>629</v>
      </c>
      <c r="B630" s="49" t="s">
        <v>1321</v>
      </c>
      <c r="C630" s="49" t="s">
        <v>1322</v>
      </c>
      <c r="D630" s="53" t="s">
        <v>47</v>
      </c>
      <c r="E630" s="53" t="s">
        <v>48</v>
      </c>
      <c r="F630" s="45">
        <f t="shared" si="83"/>
        <v>313</v>
      </c>
      <c r="G630" s="58">
        <f t="shared" si="81"/>
        <v>5.2166666666666668</v>
      </c>
      <c r="H630" s="5">
        <v>90</v>
      </c>
      <c r="I630" s="5">
        <v>73</v>
      </c>
      <c r="J630" s="5"/>
      <c r="K630" s="5">
        <v>90</v>
      </c>
      <c r="L630" s="5"/>
      <c r="O630" s="3">
        <v>30</v>
      </c>
      <c r="P630" s="3">
        <v>30</v>
      </c>
    </row>
    <row r="631" spans="1:16" ht="15.75" hidden="1" x14ac:dyDescent="0.25">
      <c r="A631" s="48">
        <v>630</v>
      </c>
      <c r="B631" s="49" t="s">
        <v>1323</v>
      </c>
      <c r="C631" s="49" t="s">
        <v>1324</v>
      </c>
      <c r="D631" s="53" t="s">
        <v>47</v>
      </c>
      <c r="E631" s="53" t="s">
        <v>105</v>
      </c>
      <c r="F631" s="45">
        <f t="shared" si="83"/>
        <v>30</v>
      </c>
      <c r="G631" s="58">
        <f t="shared" si="81"/>
        <v>0.5</v>
      </c>
      <c r="H631" s="5"/>
      <c r="I631" s="5"/>
      <c r="J631" s="5"/>
      <c r="K631" s="5"/>
      <c r="L631" s="5"/>
      <c r="O631" s="3">
        <v>30</v>
      </c>
    </row>
    <row r="632" spans="1:16" ht="15.75" hidden="1" x14ac:dyDescent="0.25">
      <c r="A632" s="48">
        <v>631</v>
      </c>
      <c r="B632" s="49" t="s">
        <v>1325</v>
      </c>
      <c r="C632" s="49" t="s">
        <v>1326</v>
      </c>
      <c r="D632" s="53" t="s">
        <v>47</v>
      </c>
      <c r="E632" s="53" t="s">
        <v>48</v>
      </c>
      <c r="F632" s="45">
        <f t="shared" si="83"/>
        <v>90</v>
      </c>
      <c r="G632" s="58">
        <f t="shared" si="81"/>
        <v>1.5</v>
      </c>
      <c r="H632" s="5">
        <v>90</v>
      </c>
      <c r="I632" s="5"/>
      <c r="J632" s="5"/>
      <c r="K632" s="5"/>
      <c r="L632" s="5"/>
    </row>
    <row r="633" spans="1:16" ht="15.75" hidden="1" x14ac:dyDescent="0.25">
      <c r="A633" s="48">
        <v>632</v>
      </c>
      <c r="B633" s="49" t="s">
        <v>1327</v>
      </c>
      <c r="C633" s="49" t="s">
        <v>1328</v>
      </c>
      <c r="D633" s="53" t="s">
        <v>47</v>
      </c>
      <c r="E633" s="53" t="s">
        <v>48</v>
      </c>
      <c r="F633" s="45">
        <f t="shared" si="83"/>
        <v>90</v>
      </c>
      <c r="G633" s="58">
        <f t="shared" si="81"/>
        <v>1.5</v>
      </c>
      <c r="H633" s="5"/>
      <c r="I633" s="5"/>
      <c r="J633" s="5"/>
      <c r="K633" s="5"/>
      <c r="L633" s="5"/>
      <c r="N633" s="3">
        <v>30</v>
      </c>
      <c r="O633" s="3">
        <v>30</v>
      </c>
      <c r="P633" s="3">
        <v>30</v>
      </c>
    </row>
    <row r="634" spans="1:16" ht="15.75" hidden="1" x14ac:dyDescent="0.25">
      <c r="A634" s="48">
        <v>633</v>
      </c>
      <c r="B634" s="49" t="s">
        <v>1329</v>
      </c>
      <c r="C634" s="49" t="s">
        <v>1330</v>
      </c>
      <c r="D634" s="53" t="s">
        <v>47</v>
      </c>
      <c r="E634" s="53" t="s">
        <v>48</v>
      </c>
      <c r="F634" s="45">
        <f t="shared" si="83"/>
        <v>0</v>
      </c>
      <c r="G634" s="58">
        <f t="shared" si="81"/>
        <v>0</v>
      </c>
      <c r="H634" s="5"/>
      <c r="I634" s="5"/>
      <c r="J634" s="5"/>
      <c r="K634" s="5"/>
      <c r="L634" s="5"/>
    </row>
    <row r="635" spans="1:16" ht="15.75" hidden="1" x14ac:dyDescent="0.25">
      <c r="A635" s="48">
        <v>634</v>
      </c>
      <c r="B635" s="49" t="s">
        <v>1331</v>
      </c>
      <c r="C635" s="49" t="s">
        <v>1332</v>
      </c>
      <c r="D635" s="53" t="s">
        <v>47</v>
      </c>
      <c r="E635" s="53" t="s">
        <v>56</v>
      </c>
      <c r="F635" s="45">
        <f t="shared" si="83"/>
        <v>0</v>
      </c>
      <c r="G635" s="58">
        <f t="shared" si="81"/>
        <v>0</v>
      </c>
      <c r="H635" s="5"/>
      <c r="I635" s="5"/>
      <c r="J635" s="5"/>
      <c r="K635" s="5"/>
      <c r="L635" s="5"/>
    </row>
    <row r="636" spans="1:16" ht="15.75" hidden="1" x14ac:dyDescent="0.25">
      <c r="A636" s="48">
        <v>635</v>
      </c>
      <c r="B636" s="49" t="s">
        <v>1333</v>
      </c>
      <c r="C636" s="49" t="s">
        <v>1334</v>
      </c>
      <c r="D636" s="53" t="s">
        <v>47</v>
      </c>
      <c r="E636" s="53" t="s">
        <v>116</v>
      </c>
      <c r="F636" s="45">
        <f t="shared" si="83"/>
        <v>0</v>
      </c>
      <c r="G636" s="58">
        <f t="shared" si="81"/>
        <v>0</v>
      </c>
      <c r="H636" s="5"/>
      <c r="I636" s="5"/>
      <c r="J636" s="5"/>
      <c r="K636" s="5"/>
      <c r="L636" s="5"/>
    </row>
    <row r="637" spans="1:16" ht="15.75" hidden="1" x14ac:dyDescent="0.25">
      <c r="A637" s="48">
        <v>636</v>
      </c>
      <c r="B637" s="49" t="s">
        <v>1335</v>
      </c>
      <c r="C637" s="49" t="s">
        <v>1336</v>
      </c>
      <c r="D637" s="53" t="s">
        <v>47</v>
      </c>
      <c r="E637" s="53" t="s">
        <v>86</v>
      </c>
      <c r="F637" s="45">
        <f t="shared" si="83"/>
        <v>157</v>
      </c>
      <c r="G637" s="58">
        <f t="shared" si="81"/>
        <v>2.6166666666666667</v>
      </c>
      <c r="H637" s="5"/>
      <c r="I637" s="5">
        <v>67</v>
      </c>
      <c r="J637" s="5"/>
      <c r="K637" s="5"/>
      <c r="L637" s="5"/>
      <c r="M637" s="3">
        <v>30</v>
      </c>
      <c r="O637" s="3">
        <v>30</v>
      </c>
      <c r="P637" s="3">
        <v>30</v>
      </c>
    </row>
    <row r="638" spans="1:16" ht="15.75" hidden="1" x14ac:dyDescent="0.25">
      <c r="A638" s="48">
        <v>637</v>
      </c>
      <c r="B638" s="49" t="s">
        <v>1337</v>
      </c>
      <c r="C638" s="49" t="s">
        <v>1338</v>
      </c>
      <c r="D638" s="53" t="s">
        <v>47</v>
      </c>
      <c r="E638" s="53" t="s">
        <v>48</v>
      </c>
      <c r="F638" s="45">
        <f t="shared" si="83"/>
        <v>348</v>
      </c>
      <c r="G638" s="58">
        <f t="shared" si="81"/>
        <v>5.8</v>
      </c>
      <c r="H638" s="5">
        <v>90</v>
      </c>
      <c r="I638" s="5">
        <v>78</v>
      </c>
      <c r="J638" s="5"/>
      <c r="K638" s="5">
        <v>90</v>
      </c>
      <c r="L638" s="5"/>
      <c r="M638" s="3">
        <v>30</v>
      </c>
      <c r="N638" s="3">
        <v>30</v>
      </c>
      <c r="P638" s="3">
        <v>30</v>
      </c>
    </row>
    <row r="639" spans="1:16" ht="15.75" hidden="1" x14ac:dyDescent="0.25">
      <c r="A639" s="48">
        <v>638</v>
      </c>
      <c r="B639" s="49" t="s">
        <v>1339</v>
      </c>
      <c r="C639" s="49" t="s">
        <v>1340</v>
      </c>
      <c r="D639" s="53" t="s">
        <v>47</v>
      </c>
      <c r="E639" s="53" t="s">
        <v>48</v>
      </c>
      <c r="F639" s="45">
        <f t="shared" si="83"/>
        <v>0</v>
      </c>
      <c r="G639" s="58">
        <f t="shared" si="81"/>
        <v>0</v>
      </c>
      <c r="H639" s="5"/>
      <c r="I639" s="5"/>
      <c r="J639" s="5"/>
      <c r="K639" s="5"/>
      <c r="L639" s="5"/>
    </row>
    <row r="640" spans="1:16" ht="15.75" hidden="1" x14ac:dyDescent="0.25">
      <c r="A640" s="48">
        <v>639</v>
      </c>
      <c r="B640" s="49" t="s">
        <v>1341</v>
      </c>
      <c r="C640" s="49" t="s">
        <v>1342</v>
      </c>
      <c r="D640" s="53" t="s">
        <v>47</v>
      </c>
      <c r="E640" s="53" t="s">
        <v>48</v>
      </c>
      <c r="F640" s="45">
        <f t="shared" si="83"/>
        <v>201</v>
      </c>
      <c r="G640" s="58">
        <f t="shared" si="81"/>
        <v>3.35</v>
      </c>
      <c r="H640" s="5">
        <v>90</v>
      </c>
      <c r="I640" s="5">
        <v>81</v>
      </c>
      <c r="J640" s="5"/>
      <c r="K640" s="5"/>
      <c r="L640" s="5"/>
      <c r="P640" s="3">
        <v>30</v>
      </c>
    </row>
    <row r="641" spans="1:16" ht="15.75" hidden="1" x14ac:dyDescent="0.25">
      <c r="A641" s="48">
        <v>640</v>
      </c>
      <c r="B641" s="49" t="s">
        <v>1343</v>
      </c>
      <c r="C641" s="49" t="s">
        <v>1344</v>
      </c>
      <c r="D641" s="53" t="s">
        <v>123</v>
      </c>
      <c r="E641" s="53" t="s">
        <v>123</v>
      </c>
      <c r="F641" s="45">
        <f t="shared" si="77"/>
        <v>0</v>
      </c>
      <c r="G641" s="57"/>
      <c r="H641" s="5"/>
      <c r="I641" s="5"/>
      <c r="J641" s="5"/>
      <c r="K641" s="5"/>
      <c r="L641" s="5"/>
      <c r="M641"/>
      <c r="N641"/>
      <c r="O641"/>
      <c r="P641"/>
    </row>
    <row r="642" spans="1:16" ht="15.75" hidden="1" x14ac:dyDescent="0.25">
      <c r="A642" s="48">
        <v>641</v>
      </c>
      <c r="B642" s="49" t="s">
        <v>1345</v>
      </c>
      <c r="C642" s="49" t="s">
        <v>1346</v>
      </c>
      <c r="D642" s="53" t="s">
        <v>47</v>
      </c>
      <c r="E642" s="53" t="s">
        <v>86</v>
      </c>
      <c r="F642" s="45">
        <f>SUM($H642:$P642)</f>
        <v>444</v>
      </c>
      <c r="G642" s="58">
        <f t="shared" ref="G642:G685" si="84">F642/60</f>
        <v>7.4</v>
      </c>
      <c r="H642" s="5">
        <v>90</v>
      </c>
      <c r="I642" s="5">
        <v>84</v>
      </c>
      <c r="J642" s="5"/>
      <c r="K642" s="5">
        <v>90</v>
      </c>
      <c r="L642" s="5">
        <v>60</v>
      </c>
      <c r="M642" s="3">
        <v>30</v>
      </c>
      <c r="N642" s="3">
        <v>30</v>
      </c>
      <c r="O642" s="3">
        <v>30</v>
      </c>
      <c r="P642" s="3">
        <v>30</v>
      </c>
    </row>
    <row r="643" spans="1:16" ht="15.75" hidden="1" x14ac:dyDescent="0.25">
      <c r="A643" s="48">
        <v>642</v>
      </c>
      <c r="B643" s="49" t="s">
        <v>1347</v>
      </c>
      <c r="C643" s="49" t="s">
        <v>1348</v>
      </c>
      <c r="D643" s="53" t="s">
        <v>64</v>
      </c>
      <c r="E643" s="53" t="s">
        <v>186</v>
      </c>
      <c r="F643" s="45">
        <f t="shared" ref="F643:F700" si="85">SUM($H643:$K643)</f>
        <v>0</v>
      </c>
      <c r="G643" s="58">
        <f t="shared" si="84"/>
        <v>0</v>
      </c>
      <c r="H643" s="5"/>
      <c r="I643" s="5"/>
      <c r="J643" s="5"/>
      <c r="K643" s="5"/>
      <c r="L643" s="5"/>
    </row>
    <row r="644" spans="1:16" ht="15.75" hidden="1" x14ac:dyDescent="0.25">
      <c r="A644" s="48">
        <v>643</v>
      </c>
      <c r="B644" s="49" t="s">
        <v>1349</v>
      </c>
      <c r="C644" s="49" t="s">
        <v>1350</v>
      </c>
      <c r="D644" s="53" t="s">
        <v>47</v>
      </c>
      <c r="E644" s="53" t="s">
        <v>48</v>
      </c>
      <c r="F644" s="45">
        <f t="shared" ref="F644:F653" si="86">SUM($H644:$P644)</f>
        <v>0</v>
      </c>
      <c r="G644" s="58">
        <f t="shared" si="84"/>
        <v>0</v>
      </c>
      <c r="H644" s="5"/>
      <c r="I644" s="5"/>
      <c r="J644" s="5"/>
      <c r="K644" s="5"/>
      <c r="L644" s="5"/>
    </row>
    <row r="645" spans="1:16" ht="15.75" hidden="1" x14ac:dyDescent="0.25">
      <c r="A645" s="48">
        <v>644</v>
      </c>
      <c r="B645" s="49" t="s">
        <v>1351</v>
      </c>
      <c r="C645" s="49" t="s">
        <v>1352</v>
      </c>
      <c r="D645" s="53" t="s">
        <v>47</v>
      </c>
      <c r="E645" s="53" t="s">
        <v>61</v>
      </c>
      <c r="F645" s="45">
        <f t="shared" si="86"/>
        <v>120</v>
      </c>
      <c r="G645" s="58">
        <f t="shared" si="84"/>
        <v>2</v>
      </c>
      <c r="H645" s="5"/>
      <c r="I645" s="5"/>
      <c r="J645" s="5"/>
      <c r="K645" s="5"/>
      <c r="L645" s="5"/>
      <c r="M645" s="3">
        <v>30</v>
      </c>
      <c r="N645" s="3">
        <v>30</v>
      </c>
      <c r="O645" s="3">
        <v>30</v>
      </c>
      <c r="P645" s="3">
        <v>30</v>
      </c>
    </row>
    <row r="646" spans="1:16" ht="15.75" hidden="1" x14ac:dyDescent="0.25">
      <c r="A646" s="48">
        <v>645</v>
      </c>
      <c r="B646" s="49" t="s">
        <v>1353</v>
      </c>
      <c r="C646" s="49" t="s">
        <v>1354</v>
      </c>
      <c r="D646" s="53" t="s">
        <v>47</v>
      </c>
      <c r="E646" s="53" t="s">
        <v>48</v>
      </c>
      <c r="F646" s="45">
        <f t="shared" si="86"/>
        <v>210</v>
      </c>
      <c r="G646" s="58">
        <f t="shared" si="84"/>
        <v>3.5</v>
      </c>
      <c r="H646" s="5">
        <v>90</v>
      </c>
      <c r="I646" s="5"/>
      <c r="J646" s="5"/>
      <c r="K646" s="5">
        <v>90</v>
      </c>
      <c r="L646" s="5"/>
      <c r="P646" s="3">
        <v>30</v>
      </c>
    </row>
    <row r="647" spans="1:16" ht="15.75" hidden="1" x14ac:dyDescent="0.25">
      <c r="A647" s="48">
        <v>646</v>
      </c>
      <c r="B647" s="49" t="s">
        <v>1355</v>
      </c>
      <c r="C647" s="49" t="s">
        <v>1356</v>
      </c>
      <c r="D647" s="53" t="s">
        <v>47</v>
      </c>
      <c r="E647" s="53" t="s">
        <v>116</v>
      </c>
      <c r="F647" s="45">
        <f t="shared" si="86"/>
        <v>0</v>
      </c>
      <c r="G647" s="58">
        <f t="shared" si="84"/>
        <v>0</v>
      </c>
      <c r="H647" s="5"/>
      <c r="I647" s="5"/>
      <c r="J647" s="5"/>
      <c r="K647" s="5"/>
      <c r="L647" s="5"/>
    </row>
    <row r="648" spans="1:16" ht="15.75" hidden="1" x14ac:dyDescent="0.25">
      <c r="A648" s="48">
        <v>647</v>
      </c>
      <c r="B648" s="49" t="s">
        <v>1357</v>
      </c>
      <c r="C648" s="49" t="s">
        <v>1358</v>
      </c>
      <c r="D648" s="53" t="s">
        <v>47</v>
      </c>
      <c r="E648" s="53" t="s">
        <v>76</v>
      </c>
      <c r="F648" s="45">
        <f t="shared" si="86"/>
        <v>90</v>
      </c>
      <c r="G648" s="58">
        <f t="shared" si="84"/>
        <v>1.5</v>
      </c>
      <c r="H648" s="5">
        <v>90</v>
      </c>
      <c r="I648" s="5"/>
      <c r="J648" s="5"/>
      <c r="K648" s="5"/>
      <c r="L648" s="5"/>
    </row>
    <row r="649" spans="1:16" ht="15.75" hidden="1" x14ac:dyDescent="0.25">
      <c r="A649" s="48">
        <v>648</v>
      </c>
      <c r="B649" s="49" t="s">
        <v>1359</v>
      </c>
      <c r="C649" s="49" t="s">
        <v>1360</v>
      </c>
      <c r="D649" s="53" t="s">
        <v>47</v>
      </c>
      <c r="E649" s="53" t="s">
        <v>61</v>
      </c>
      <c r="F649" s="45">
        <f t="shared" si="86"/>
        <v>0</v>
      </c>
      <c r="G649" s="58">
        <f t="shared" si="84"/>
        <v>0</v>
      </c>
      <c r="H649" s="5"/>
      <c r="I649" s="5"/>
      <c r="J649" s="5"/>
      <c r="K649" s="5"/>
      <c r="L649" s="5"/>
    </row>
    <row r="650" spans="1:16" ht="15.75" hidden="1" x14ac:dyDescent="0.25">
      <c r="A650" s="48">
        <v>649</v>
      </c>
      <c r="B650" s="49" t="s">
        <v>1361</v>
      </c>
      <c r="C650" s="49" t="s">
        <v>1362</v>
      </c>
      <c r="D650" s="53" t="s">
        <v>47</v>
      </c>
      <c r="E650" s="53" t="s">
        <v>51</v>
      </c>
      <c r="F650" s="45">
        <f t="shared" si="86"/>
        <v>0</v>
      </c>
      <c r="G650" s="58">
        <f t="shared" si="84"/>
        <v>0</v>
      </c>
      <c r="H650" s="5"/>
      <c r="I650" s="5"/>
      <c r="J650" s="5"/>
      <c r="K650" s="5"/>
      <c r="L650" s="5"/>
    </row>
    <row r="651" spans="1:16" ht="15.75" hidden="1" x14ac:dyDescent="0.25">
      <c r="A651" s="48">
        <v>650</v>
      </c>
      <c r="B651" s="49" t="s">
        <v>1363</v>
      </c>
      <c r="C651" s="49" t="s">
        <v>1364</v>
      </c>
      <c r="D651" s="53" t="s">
        <v>47</v>
      </c>
      <c r="E651" s="53" t="s">
        <v>56</v>
      </c>
      <c r="F651" s="45">
        <f t="shared" si="86"/>
        <v>164</v>
      </c>
      <c r="G651" s="58">
        <f t="shared" si="84"/>
        <v>2.7333333333333334</v>
      </c>
      <c r="H651" s="5">
        <v>90</v>
      </c>
      <c r="I651" s="5">
        <v>74</v>
      </c>
      <c r="J651" s="5"/>
      <c r="K651" s="5"/>
      <c r="L651" s="5"/>
    </row>
    <row r="652" spans="1:16" ht="15.75" hidden="1" x14ac:dyDescent="0.25">
      <c r="A652" s="48">
        <v>651</v>
      </c>
      <c r="B652" s="49" t="s">
        <v>1365</v>
      </c>
      <c r="C652" s="49" t="s">
        <v>1366</v>
      </c>
      <c r="D652" s="53" t="s">
        <v>47</v>
      </c>
      <c r="E652" s="53" t="s">
        <v>48</v>
      </c>
      <c r="F652" s="45">
        <f t="shared" si="86"/>
        <v>60</v>
      </c>
      <c r="G652" s="58">
        <f t="shared" si="84"/>
        <v>1</v>
      </c>
      <c r="H652" s="5"/>
      <c r="I652" s="5"/>
      <c r="J652" s="5"/>
      <c r="K652" s="5"/>
      <c r="L652" s="5"/>
      <c r="O652" s="3">
        <v>30</v>
      </c>
      <c r="P652" s="3">
        <v>30</v>
      </c>
    </row>
    <row r="653" spans="1:16" ht="15.75" hidden="1" x14ac:dyDescent="0.25">
      <c r="A653" s="48">
        <v>652</v>
      </c>
      <c r="B653" s="49" t="s">
        <v>1367</v>
      </c>
      <c r="C653" s="49" t="s">
        <v>1368</v>
      </c>
      <c r="D653" s="53" t="s">
        <v>47</v>
      </c>
      <c r="E653" s="53" t="s">
        <v>105</v>
      </c>
      <c r="F653" s="45">
        <f t="shared" si="86"/>
        <v>0</v>
      </c>
      <c r="G653" s="58">
        <f t="shared" si="84"/>
        <v>0</v>
      </c>
      <c r="H653" s="5"/>
      <c r="I653" s="5"/>
      <c r="J653" s="5"/>
      <c r="K653" s="5"/>
      <c r="L653" s="5"/>
    </row>
    <row r="654" spans="1:16" ht="15.75" hidden="1" x14ac:dyDescent="0.25">
      <c r="A654" s="48">
        <v>653</v>
      </c>
      <c r="B654" s="49" t="s">
        <v>1369</v>
      </c>
      <c r="C654" s="49" t="s">
        <v>1370</v>
      </c>
      <c r="D654" s="53" t="s">
        <v>64</v>
      </c>
      <c r="E654" s="53" t="s">
        <v>65</v>
      </c>
      <c r="F654" s="45">
        <f t="shared" si="85"/>
        <v>0</v>
      </c>
      <c r="G654" s="58">
        <f t="shared" si="84"/>
        <v>0</v>
      </c>
      <c r="H654" s="5"/>
      <c r="I654" s="5"/>
      <c r="J654" s="5"/>
      <c r="K654" s="5"/>
      <c r="L654" s="5"/>
    </row>
    <row r="655" spans="1:16" ht="15.75" hidden="1" x14ac:dyDescent="0.25">
      <c r="A655" s="48">
        <v>654</v>
      </c>
      <c r="B655" s="49" t="s">
        <v>1371</v>
      </c>
      <c r="C655" s="49" t="s">
        <v>1372</v>
      </c>
      <c r="D655" s="53" t="s">
        <v>47</v>
      </c>
      <c r="E655" s="53" t="s">
        <v>86</v>
      </c>
      <c r="F655" s="45">
        <f t="shared" ref="F655:F685" si="87">SUM($H655:$P655)</f>
        <v>360</v>
      </c>
      <c r="G655" s="58">
        <f t="shared" si="84"/>
        <v>6</v>
      </c>
      <c r="H655" s="5">
        <v>90</v>
      </c>
      <c r="I655" s="5"/>
      <c r="J655" s="5">
        <v>60</v>
      </c>
      <c r="K655" s="5">
        <v>90</v>
      </c>
      <c r="L655" s="5">
        <v>60</v>
      </c>
      <c r="M655" s="3">
        <v>30</v>
      </c>
      <c r="N655" s="3">
        <v>30</v>
      </c>
    </row>
    <row r="656" spans="1:16" ht="15.75" hidden="1" x14ac:dyDescent="0.25">
      <c r="A656" s="48">
        <v>655</v>
      </c>
      <c r="B656" s="49" t="s">
        <v>1373</v>
      </c>
      <c r="C656" s="49" t="s">
        <v>1374</v>
      </c>
      <c r="D656" s="53" t="s">
        <v>47</v>
      </c>
      <c r="E656" s="53" t="s">
        <v>51</v>
      </c>
      <c r="F656" s="45">
        <f t="shared" si="87"/>
        <v>30</v>
      </c>
      <c r="G656" s="58">
        <f t="shared" si="84"/>
        <v>0.5</v>
      </c>
      <c r="H656" s="5"/>
      <c r="I656" s="5"/>
      <c r="J656" s="5"/>
      <c r="K656" s="5"/>
      <c r="L656" s="5"/>
      <c r="N656" s="3">
        <v>30</v>
      </c>
    </row>
    <row r="657" spans="1:16" ht="15.75" hidden="1" x14ac:dyDescent="0.25">
      <c r="A657" s="48">
        <v>656</v>
      </c>
      <c r="B657" s="49" t="s">
        <v>1375</v>
      </c>
      <c r="C657" s="49" t="s">
        <v>1376</v>
      </c>
      <c r="D657" s="53" t="s">
        <v>47</v>
      </c>
      <c r="E657" s="53" t="s">
        <v>105</v>
      </c>
      <c r="F657" s="45">
        <f t="shared" si="87"/>
        <v>0</v>
      </c>
      <c r="G657" s="58">
        <f t="shared" si="84"/>
        <v>0</v>
      </c>
      <c r="H657" s="5"/>
      <c r="I657" s="5"/>
      <c r="J657" s="5"/>
      <c r="K657" s="5"/>
      <c r="L657" s="5"/>
    </row>
    <row r="658" spans="1:16" ht="15.75" hidden="1" x14ac:dyDescent="0.25">
      <c r="A658" s="48">
        <v>657</v>
      </c>
      <c r="B658" s="49" t="s">
        <v>1377</v>
      </c>
      <c r="C658" s="49" t="s">
        <v>1378</v>
      </c>
      <c r="D658" s="53" t="s">
        <v>47</v>
      </c>
      <c r="E658" s="53" t="s">
        <v>56</v>
      </c>
      <c r="F658" s="45">
        <f t="shared" si="87"/>
        <v>0</v>
      </c>
      <c r="G658" s="58">
        <f t="shared" si="84"/>
        <v>0</v>
      </c>
      <c r="H658" s="5"/>
      <c r="I658" s="5"/>
      <c r="J658" s="5"/>
      <c r="K658" s="5"/>
      <c r="L658" s="5"/>
    </row>
    <row r="659" spans="1:16" ht="15.75" hidden="1" x14ac:dyDescent="0.25">
      <c r="A659" s="48">
        <v>658</v>
      </c>
      <c r="B659" s="49" t="s">
        <v>1379</v>
      </c>
      <c r="C659" s="49" t="s">
        <v>1380</v>
      </c>
      <c r="D659" s="53" t="s">
        <v>47</v>
      </c>
      <c r="E659" s="53" t="s">
        <v>76</v>
      </c>
      <c r="F659" s="45">
        <f t="shared" si="87"/>
        <v>0</v>
      </c>
      <c r="G659" s="58">
        <f t="shared" si="84"/>
        <v>0</v>
      </c>
      <c r="H659" s="5"/>
      <c r="I659" s="5"/>
      <c r="J659" s="5"/>
      <c r="K659" s="5"/>
      <c r="L659" s="5"/>
    </row>
    <row r="660" spans="1:16" ht="15.75" hidden="1" x14ac:dyDescent="0.25">
      <c r="A660" s="48">
        <v>659</v>
      </c>
      <c r="B660" s="49" t="s">
        <v>1381</v>
      </c>
      <c r="C660" s="49" t="s">
        <v>1382</v>
      </c>
      <c r="D660" s="53" t="s">
        <v>47</v>
      </c>
      <c r="E660" s="53" t="s">
        <v>205</v>
      </c>
      <c r="F660" s="45">
        <f t="shared" si="87"/>
        <v>90</v>
      </c>
      <c r="G660" s="58">
        <f t="shared" si="84"/>
        <v>1.5</v>
      </c>
      <c r="H660" s="5"/>
      <c r="I660" s="5"/>
      <c r="J660" s="5"/>
      <c r="K660" s="5">
        <v>90</v>
      </c>
      <c r="L660" s="5"/>
    </row>
    <row r="661" spans="1:16" ht="15.75" hidden="1" x14ac:dyDescent="0.25">
      <c r="A661" s="48">
        <v>660</v>
      </c>
      <c r="B661" s="49" t="s">
        <v>1383</v>
      </c>
      <c r="C661" s="49" t="s">
        <v>1384</v>
      </c>
      <c r="D661" s="53" t="s">
        <v>47</v>
      </c>
      <c r="E661" s="53" t="s">
        <v>116</v>
      </c>
      <c r="F661" s="45">
        <f t="shared" si="87"/>
        <v>90</v>
      </c>
      <c r="G661" s="58">
        <f t="shared" si="84"/>
        <v>1.5</v>
      </c>
      <c r="H661" s="5"/>
      <c r="I661" s="5"/>
      <c r="J661" s="5"/>
      <c r="K661" s="5"/>
      <c r="L661" s="5"/>
      <c r="M661" s="3">
        <v>30</v>
      </c>
      <c r="N661" s="3">
        <v>30</v>
      </c>
      <c r="O661" s="3">
        <v>30</v>
      </c>
    </row>
    <row r="662" spans="1:16" ht="15.75" hidden="1" x14ac:dyDescent="0.25">
      <c r="A662" s="48">
        <v>661</v>
      </c>
      <c r="B662" s="49" t="s">
        <v>1385</v>
      </c>
      <c r="C662" s="49" t="s">
        <v>1386</v>
      </c>
      <c r="D662" s="53" t="s">
        <v>47</v>
      </c>
      <c r="E662" s="53" t="s">
        <v>76</v>
      </c>
      <c r="F662" s="45">
        <f t="shared" si="87"/>
        <v>66</v>
      </c>
      <c r="G662" s="58">
        <f t="shared" si="84"/>
        <v>1.1000000000000001</v>
      </c>
      <c r="H662" s="5"/>
      <c r="I662" s="5">
        <v>66</v>
      </c>
      <c r="J662" s="5"/>
      <c r="K662" s="5"/>
      <c r="L662" s="5"/>
    </row>
    <row r="663" spans="1:16" ht="15.75" hidden="1" x14ac:dyDescent="0.25">
      <c r="A663" s="48">
        <v>662</v>
      </c>
      <c r="B663" s="49" t="s">
        <v>1387</v>
      </c>
      <c r="C663" s="49" t="s">
        <v>1388</v>
      </c>
      <c r="D663" s="53" t="s">
        <v>47</v>
      </c>
      <c r="E663" s="53" t="s">
        <v>48</v>
      </c>
      <c r="F663" s="45">
        <f t="shared" si="87"/>
        <v>60</v>
      </c>
      <c r="G663" s="58">
        <f t="shared" si="84"/>
        <v>1</v>
      </c>
      <c r="H663" s="5"/>
      <c r="I663" s="5"/>
      <c r="J663" s="5"/>
      <c r="K663" s="5"/>
      <c r="L663" s="5"/>
      <c r="O663" s="3">
        <v>30</v>
      </c>
      <c r="P663" s="3">
        <v>30</v>
      </c>
    </row>
    <row r="664" spans="1:16" ht="15.75" hidden="1" x14ac:dyDescent="0.25">
      <c r="A664" s="48">
        <v>663</v>
      </c>
      <c r="B664" s="49" t="s">
        <v>1389</v>
      </c>
      <c r="C664" s="49" t="s">
        <v>1390</v>
      </c>
      <c r="D664" s="53" t="s">
        <v>47</v>
      </c>
      <c r="E664" s="53" t="s">
        <v>51</v>
      </c>
      <c r="F664" s="45">
        <f t="shared" si="87"/>
        <v>0</v>
      </c>
      <c r="G664" s="58">
        <f t="shared" si="84"/>
        <v>0</v>
      </c>
      <c r="H664" s="5"/>
      <c r="I664" s="5"/>
      <c r="J664" s="5"/>
      <c r="K664" s="5"/>
      <c r="L664" s="5"/>
    </row>
    <row r="665" spans="1:16" ht="15.75" hidden="1" x14ac:dyDescent="0.25">
      <c r="A665" s="48">
        <v>664</v>
      </c>
      <c r="B665" s="49" t="s">
        <v>1391</v>
      </c>
      <c r="C665" s="49" t="s">
        <v>1392</v>
      </c>
      <c r="D665" s="53" t="s">
        <v>47</v>
      </c>
      <c r="E665" s="53" t="s">
        <v>48</v>
      </c>
      <c r="F665" s="45">
        <f t="shared" si="87"/>
        <v>180</v>
      </c>
      <c r="G665" s="58">
        <f t="shared" si="84"/>
        <v>3</v>
      </c>
      <c r="H665" s="5"/>
      <c r="I665" s="5"/>
      <c r="J665" s="5"/>
      <c r="K665" s="5">
        <v>90</v>
      </c>
      <c r="L665" s="5">
        <v>60</v>
      </c>
      <c r="P665" s="3">
        <v>30</v>
      </c>
    </row>
    <row r="666" spans="1:16" ht="15.75" hidden="1" x14ac:dyDescent="0.25">
      <c r="A666" s="48">
        <v>665</v>
      </c>
      <c r="B666" s="49" t="s">
        <v>1393</v>
      </c>
      <c r="C666" s="49" t="s">
        <v>1394</v>
      </c>
      <c r="D666" s="53" t="s">
        <v>47</v>
      </c>
      <c r="E666" s="53" t="s">
        <v>76</v>
      </c>
      <c r="F666" s="45">
        <f t="shared" si="87"/>
        <v>30</v>
      </c>
      <c r="G666" s="58">
        <f t="shared" si="84"/>
        <v>0.5</v>
      </c>
      <c r="H666" s="5"/>
      <c r="I666" s="5"/>
      <c r="J666" s="5"/>
      <c r="K666" s="5"/>
      <c r="L666" s="5"/>
      <c r="O666" s="3">
        <v>30</v>
      </c>
    </row>
    <row r="667" spans="1:16" ht="15.75" hidden="1" x14ac:dyDescent="0.25">
      <c r="A667" s="48">
        <v>666</v>
      </c>
      <c r="B667" s="49" t="s">
        <v>1395</v>
      </c>
      <c r="C667" s="49" t="s">
        <v>1396</v>
      </c>
      <c r="D667" s="53" t="s">
        <v>47</v>
      </c>
      <c r="E667" s="53" t="s">
        <v>48</v>
      </c>
      <c r="F667" s="45">
        <f t="shared" si="87"/>
        <v>30</v>
      </c>
      <c r="G667" s="58">
        <f t="shared" si="84"/>
        <v>0.5</v>
      </c>
      <c r="H667" s="5"/>
      <c r="I667" s="5"/>
      <c r="J667" s="5"/>
      <c r="K667" s="5"/>
      <c r="L667" s="5"/>
      <c r="O667" s="3">
        <v>30</v>
      </c>
    </row>
    <row r="668" spans="1:16" ht="15.75" hidden="1" x14ac:dyDescent="0.25">
      <c r="A668" s="48">
        <v>667</v>
      </c>
      <c r="B668" s="49" t="s">
        <v>1397</v>
      </c>
      <c r="C668" s="49" t="s">
        <v>1398</v>
      </c>
      <c r="D668" s="53" t="s">
        <v>47</v>
      </c>
      <c r="E668" s="53" t="s">
        <v>116</v>
      </c>
      <c r="F668" s="45">
        <f t="shared" si="87"/>
        <v>0</v>
      </c>
      <c r="G668" s="58">
        <f t="shared" si="84"/>
        <v>0</v>
      </c>
      <c r="H668" s="5"/>
      <c r="I668" s="5"/>
      <c r="J668" s="5"/>
      <c r="K668" s="5"/>
      <c r="L668" s="5"/>
    </row>
    <row r="669" spans="1:16" ht="15.75" hidden="1" x14ac:dyDescent="0.25">
      <c r="A669" s="48">
        <v>668</v>
      </c>
      <c r="B669" s="49" t="s">
        <v>1399</v>
      </c>
      <c r="C669" s="49" t="s">
        <v>1400</v>
      </c>
      <c r="D669" s="53" t="s">
        <v>47</v>
      </c>
      <c r="E669" s="53" t="s">
        <v>48</v>
      </c>
      <c r="F669" s="45">
        <f t="shared" si="87"/>
        <v>205</v>
      </c>
      <c r="G669" s="58">
        <f t="shared" si="84"/>
        <v>3.4166666666666665</v>
      </c>
      <c r="H669" s="5">
        <v>90</v>
      </c>
      <c r="I669" s="5">
        <v>55</v>
      </c>
      <c r="J669" s="5">
        <v>60</v>
      </c>
      <c r="K669" s="5"/>
      <c r="L669" s="5"/>
    </row>
    <row r="670" spans="1:16" ht="15.75" hidden="1" x14ac:dyDescent="0.25">
      <c r="A670" s="48">
        <v>669</v>
      </c>
      <c r="B670" s="49" t="s">
        <v>1401</v>
      </c>
      <c r="C670" s="49" t="s">
        <v>1402</v>
      </c>
      <c r="D670" s="53" t="s">
        <v>47</v>
      </c>
      <c r="E670" s="53" t="s">
        <v>105</v>
      </c>
      <c r="F670" s="45">
        <f t="shared" si="87"/>
        <v>150</v>
      </c>
      <c r="G670" s="58">
        <f t="shared" si="84"/>
        <v>2.5</v>
      </c>
      <c r="H670" s="5"/>
      <c r="I670" s="5"/>
      <c r="J670" s="5"/>
      <c r="K670" s="5">
        <v>90</v>
      </c>
      <c r="L670" s="5">
        <v>60</v>
      </c>
    </row>
    <row r="671" spans="1:16" ht="15.75" hidden="1" x14ac:dyDescent="0.25">
      <c r="A671" s="48">
        <v>670</v>
      </c>
      <c r="B671" s="49" t="s">
        <v>1403</v>
      </c>
      <c r="C671" s="49" t="s">
        <v>1404</v>
      </c>
      <c r="D671" s="53" t="s">
        <v>47</v>
      </c>
      <c r="E671" s="53" t="s">
        <v>105</v>
      </c>
      <c r="F671" s="45">
        <f t="shared" si="87"/>
        <v>0</v>
      </c>
      <c r="G671" s="58">
        <f t="shared" si="84"/>
        <v>0</v>
      </c>
      <c r="H671" s="5"/>
      <c r="I671" s="5"/>
      <c r="J671" s="5"/>
      <c r="K671" s="5"/>
      <c r="L671" s="5"/>
    </row>
    <row r="672" spans="1:16" ht="15.75" hidden="1" x14ac:dyDescent="0.25">
      <c r="A672" s="48">
        <v>671</v>
      </c>
      <c r="B672" s="49" t="s">
        <v>1405</v>
      </c>
      <c r="C672" s="49" t="s">
        <v>1406</v>
      </c>
      <c r="D672" s="53" t="s">
        <v>47</v>
      </c>
      <c r="E672" s="53" t="s">
        <v>48</v>
      </c>
      <c r="F672" s="45">
        <f t="shared" si="87"/>
        <v>60</v>
      </c>
      <c r="G672" s="58">
        <f t="shared" si="84"/>
        <v>1</v>
      </c>
      <c r="H672" s="5"/>
      <c r="I672" s="5"/>
      <c r="J672" s="5"/>
      <c r="K672" s="5"/>
      <c r="L672" s="5"/>
      <c r="O672" s="3">
        <v>30</v>
      </c>
      <c r="P672" s="3">
        <v>30</v>
      </c>
    </row>
    <row r="673" spans="1:16" ht="15.75" hidden="1" x14ac:dyDescent="0.25">
      <c r="A673" s="48">
        <v>672</v>
      </c>
      <c r="B673" s="49" t="s">
        <v>1407</v>
      </c>
      <c r="C673" s="49" t="s">
        <v>1408</v>
      </c>
      <c r="D673" s="53" t="s">
        <v>47</v>
      </c>
      <c r="E673" s="53" t="s">
        <v>48</v>
      </c>
      <c r="F673" s="45">
        <f t="shared" si="87"/>
        <v>30</v>
      </c>
      <c r="G673" s="58">
        <f t="shared" si="84"/>
        <v>0.5</v>
      </c>
      <c r="H673" s="5"/>
      <c r="I673" s="5"/>
      <c r="J673" s="5"/>
      <c r="K673" s="5"/>
      <c r="L673" s="5"/>
      <c r="O673" s="3">
        <v>30</v>
      </c>
    </row>
    <row r="674" spans="1:16" ht="15.75" hidden="1" x14ac:dyDescent="0.25">
      <c r="A674" s="48">
        <v>673</v>
      </c>
      <c r="B674" s="49" t="s">
        <v>1409</v>
      </c>
      <c r="C674" s="49" t="s">
        <v>1410</v>
      </c>
      <c r="D674" s="53" t="s">
        <v>47</v>
      </c>
      <c r="E674" s="53" t="s">
        <v>48</v>
      </c>
      <c r="F674" s="45">
        <f t="shared" si="87"/>
        <v>0</v>
      </c>
      <c r="G674" s="58">
        <f t="shared" si="84"/>
        <v>0</v>
      </c>
      <c r="H674" s="5"/>
      <c r="I674" s="5"/>
      <c r="J674" s="5"/>
      <c r="K674" s="5"/>
      <c r="L674" s="5"/>
    </row>
    <row r="675" spans="1:16" ht="15.75" hidden="1" x14ac:dyDescent="0.25">
      <c r="A675" s="48">
        <v>674</v>
      </c>
      <c r="B675" s="49" t="s">
        <v>1411</v>
      </c>
      <c r="C675" s="49" t="s">
        <v>1412</v>
      </c>
      <c r="D675" s="53" t="s">
        <v>47</v>
      </c>
      <c r="E675" s="53" t="s">
        <v>105</v>
      </c>
      <c r="F675" s="45">
        <f t="shared" si="87"/>
        <v>0</v>
      </c>
      <c r="G675" s="58">
        <f t="shared" si="84"/>
        <v>0</v>
      </c>
      <c r="H675" s="5"/>
      <c r="I675" s="5"/>
      <c r="J675" s="5"/>
      <c r="K675" s="5"/>
      <c r="L675" s="5"/>
    </row>
    <row r="676" spans="1:16" ht="15.75" hidden="1" x14ac:dyDescent="0.25">
      <c r="A676" s="48">
        <v>675</v>
      </c>
      <c r="B676" s="49" t="s">
        <v>1413</v>
      </c>
      <c r="C676" s="49" t="s">
        <v>1414</v>
      </c>
      <c r="D676" s="53" t="s">
        <v>47</v>
      </c>
      <c r="E676" s="53" t="s">
        <v>48</v>
      </c>
      <c r="F676" s="45">
        <f t="shared" si="87"/>
        <v>90</v>
      </c>
      <c r="G676" s="58">
        <f t="shared" si="84"/>
        <v>1.5</v>
      </c>
      <c r="H676" s="5"/>
      <c r="I676" s="5"/>
      <c r="J676" s="5"/>
      <c r="K676" s="5">
        <v>90</v>
      </c>
      <c r="L676" s="5"/>
    </row>
    <row r="677" spans="1:16" ht="15.75" hidden="1" x14ac:dyDescent="0.25">
      <c r="A677" s="48">
        <v>676</v>
      </c>
      <c r="B677" s="49" t="s">
        <v>1415</v>
      </c>
      <c r="C677" s="49" t="s">
        <v>1416</v>
      </c>
      <c r="D677" s="53" t="s">
        <v>47</v>
      </c>
      <c r="E677" s="53" t="s">
        <v>86</v>
      </c>
      <c r="F677" s="45">
        <f t="shared" si="87"/>
        <v>300</v>
      </c>
      <c r="G677" s="58">
        <f t="shared" si="84"/>
        <v>5</v>
      </c>
      <c r="H677" s="5"/>
      <c r="I677" s="5"/>
      <c r="J677" s="5">
        <v>60</v>
      </c>
      <c r="K677" s="5">
        <v>90</v>
      </c>
      <c r="L677" s="5">
        <v>60</v>
      </c>
      <c r="N677" s="3">
        <v>30</v>
      </c>
      <c r="O677" s="3">
        <v>30</v>
      </c>
      <c r="P677" s="3">
        <v>30</v>
      </c>
    </row>
    <row r="678" spans="1:16" ht="15.75" hidden="1" x14ac:dyDescent="0.25">
      <c r="A678" s="48">
        <v>677</v>
      </c>
      <c r="B678" s="49" t="s">
        <v>1417</v>
      </c>
      <c r="C678" s="49" t="s">
        <v>1418</v>
      </c>
      <c r="D678" s="53" t="s">
        <v>47</v>
      </c>
      <c r="E678" s="53" t="s">
        <v>48</v>
      </c>
      <c r="F678" s="45">
        <f t="shared" si="87"/>
        <v>60</v>
      </c>
      <c r="G678" s="58">
        <f t="shared" si="84"/>
        <v>1</v>
      </c>
      <c r="H678" s="5"/>
      <c r="I678" s="5"/>
      <c r="J678" s="5"/>
      <c r="K678" s="5"/>
      <c r="L678" s="5"/>
      <c r="O678" s="3">
        <v>30</v>
      </c>
      <c r="P678" s="3">
        <v>30</v>
      </c>
    </row>
    <row r="679" spans="1:16" ht="15.75" hidden="1" x14ac:dyDescent="0.25">
      <c r="A679" s="48">
        <v>678</v>
      </c>
      <c r="B679" s="49" t="s">
        <v>1419</v>
      </c>
      <c r="C679" s="49" t="s">
        <v>1420</v>
      </c>
      <c r="D679" s="53" t="s">
        <v>47</v>
      </c>
      <c r="E679" s="53" t="s">
        <v>56</v>
      </c>
      <c r="F679" s="45">
        <f t="shared" si="87"/>
        <v>60</v>
      </c>
      <c r="G679" s="58">
        <f t="shared" si="84"/>
        <v>1</v>
      </c>
      <c r="H679" s="5"/>
      <c r="I679" s="5"/>
      <c r="J679" s="5"/>
      <c r="K679" s="5"/>
      <c r="L679" s="5"/>
      <c r="N679" s="3">
        <v>30</v>
      </c>
      <c r="O679" s="3">
        <v>30</v>
      </c>
    </row>
    <row r="680" spans="1:16" ht="15.75" hidden="1" x14ac:dyDescent="0.25">
      <c r="A680" s="48">
        <v>679</v>
      </c>
      <c r="B680" s="49" t="s">
        <v>1421</v>
      </c>
      <c r="C680" s="49" t="s">
        <v>1422</v>
      </c>
      <c r="D680" s="53" t="s">
        <v>47</v>
      </c>
      <c r="E680" s="53" t="s">
        <v>56</v>
      </c>
      <c r="F680" s="45">
        <f t="shared" si="87"/>
        <v>0</v>
      </c>
      <c r="G680" s="58">
        <f t="shared" si="84"/>
        <v>0</v>
      </c>
      <c r="H680" s="5"/>
      <c r="I680" s="5"/>
      <c r="J680" s="5"/>
      <c r="K680" s="5"/>
      <c r="L680" s="5"/>
    </row>
    <row r="681" spans="1:16" ht="15.75" hidden="1" x14ac:dyDescent="0.25">
      <c r="A681" s="48">
        <v>680</v>
      </c>
      <c r="B681" s="49" t="s">
        <v>1423</v>
      </c>
      <c r="C681" s="49" t="s">
        <v>1424</v>
      </c>
      <c r="D681" s="53" t="s">
        <v>47</v>
      </c>
      <c r="E681" s="53" t="s">
        <v>105</v>
      </c>
      <c r="F681" s="45">
        <f t="shared" si="87"/>
        <v>0</v>
      </c>
      <c r="G681" s="58">
        <f t="shared" si="84"/>
        <v>0</v>
      </c>
      <c r="H681" s="5"/>
      <c r="I681" s="5"/>
      <c r="J681" s="5"/>
      <c r="K681" s="5"/>
      <c r="L681" s="5"/>
    </row>
    <row r="682" spans="1:16" ht="15.75" hidden="1" x14ac:dyDescent="0.25">
      <c r="A682" s="48">
        <v>681</v>
      </c>
      <c r="B682" s="49" t="s">
        <v>1425</v>
      </c>
      <c r="C682" s="49" t="s">
        <v>1426</v>
      </c>
      <c r="D682" s="53" t="s">
        <v>47</v>
      </c>
      <c r="E682" s="53" t="s">
        <v>48</v>
      </c>
      <c r="F682" s="45">
        <f t="shared" si="87"/>
        <v>60</v>
      </c>
      <c r="G682" s="58">
        <f t="shared" si="84"/>
        <v>1</v>
      </c>
      <c r="H682" s="5"/>
      <c r="I682" s="5"/>
      <c r="J682" s="5"/>
      <c r="K682" s="5"/>
      <c r="L682" s="5">
        <v>60</v>
      </c>
    </row>
    <row r="683" spans="1:16" ht="15.75" hidden="1" x14ac:dyDescent="0.25">
      <c r="A683" s="48">
        <v>682</v>
      </c>
      <c r="B683" s="49" t="s">
        <v>1427</v>
      </c>
      <c r="C683" s="49" t="s">
        <v>1428</v>
      </c>
      <c r="D683" s="53" t="s">
        <v>47</v>
      </c>
      <c r="E683" s="53" t="s">
        <v>105</v>
      </c>
      <c r="F683" s="45">
        <f t="shared" si="87"/>
        <v>359</v>
      </c>
      <c r="G683" s="58">
        <f t="shared" si="84"/>
        <v>5.9833333333333334</v>
      </c>
      <c r="H683" s="5">
        <v>90</v>
      </c>
      <c r="I683" s="5">
        <v>59</v>
      </c>
      <c r="J683" s="5"/>
      <c r="K683" s="5">
        <v>90</v>
      </c>
      <c r="L683" s="5"/>
      <c r="M683" s="3">
        <v>30</v>
      </c>
      <c r="N683" s="3">
        <v>30</v>
      </c>
      <c r="O683" s="3">
        <v>30</v>
      </c>
      <c r="P683" s="3">
        <v>30</v>
      </c>
    </row>
    <row r="684" spans="1:16" ht="15.75" hidden="1" x14ac:dyDescent="0.25">
      <c r="A684" s="48">
        <v>683</v>
      </c>
      <c r="B684" s="49" t="s">
        <v>1429</v>
      </c>
      <c r="C684" s="49" t="s">
        <v>1430</v>
      </c>
      <c r="D684" s="53" t="s">
        <v>47</v>
      </c>
      <c r="E684" s="53" t="s">
        <v>51</v>
      </c>
      <c r="F684" s="45">
        <f t="shared" si="87"/>
        <v>60</v>
      </c>
      <c r="G684" s="58">
        <f t="shared" si="84"/>
        <v>1</v>
      </c>
      <c r="H684" s="5"/>
      <c r="I684" s="5"/>
      <c r="J684" s="5"/>
      <c r="K684" s="5"/>
      <c r="L684" s="5"/>
      <c r="O684" s="3">
        <v>30</v>
      </c>
      <c r="P684" s="3">
        <v>30</v>
      </c>
    </row>
    <row r="685" spans="1:16" ht="15.75" hidden="1" x14ac:dyDescent="0.25">
      <c r="A685" s="48">
        <v>684</v>
      </c>
      <c r="B685" s="49" t="s">
        <v>1431</v>
      </c>
      <c r="C685" s="49" t="s">
        <v>1432</v>
      </c>
      <c r="D685" s="53" t="s">
        <v>47</v>
      </c>
      <c r="E685" s="53" t="s">
        <v>61</v>
      </c>
      <c r="F685" s="45">
        <f t="shared" si="87"/>
        <v>150</v>
      </c>
      <c r="G685" s="58">
        <f t="shared" si="84"/>
        <v>2.5</v>
      </c>
      <c r="H685" s="5">
        <v>90</v>
      </c>
      <c r="I685" s="5"/>
      <c r="J685" s="5">
        <v>60</v>
      </c>
      <c r="K685" s="5"/>
      <c r="L685" s="5"/>
    </row>
    <row r="686" spans="1:16" ht="15.75" hidden="1" x14ac:dyDescent="0.25">
      <c r="A686" s="48">
        <v>685</v>
      </c>
      <c r="B686" s="49" t="s">
        <v>1433</v>
      </c>
      <c r="C686" s="49" t="s">
        <v>1434</v>
      </c>
      <c r="D686" s="53" t="s">
        <v>123</v>
      </c>
      <c r="E686" s="53" t="s">
        <v>123</v>
      </c>
      <c r="F686" s="45">
        <f t="shared" si="85"/>
        <v>0</v>
      </c>
      <c r="G686" s="57"/>
      <c r="H686" s="5"/>
      <c r="I686" s="5"/>
      <c r="J686" s="5"/>
      <c r="K686" s="5"/>
      <c r="L686" s="5"/>
      <c r="M686"/>
      <c r="N686"/>
      <c r="O686"/>
      <c r="P686"/>
    </row>
    <row r="687" spans="1:16" ht="15.75" hidden="1" x14ac:dyDescent="0.25">
      <c r="A687" s="48">
        <v>686</v>
      </c>
      <c r="B687" s="49" t="s">
        <v>1435</v>
      </c>
      <c r="C687" s="49" t="s">
        <v>1436</v>
      </c>
      <c r="D687" s="53" t="s">
        <v>47</v>
      </c>
      <c r="E687" s="53" t="s">
        <v>86</v>
      </c>
      <c r="F687" s="45">
        <f t="shared" ref="F687:F697" si="88">SUM($H687:$P687)</f>
        <v>60</v>
      </c>
      <c r="G687" s="58">
        <f t="shared" ref="G687:G734" si="89">F687/60</f>
        <v>1</v>
      </c>
      <c r="H687" s="5"/>
      <c r="I687" s="5"/>
      <c r="J687" s="5"/>
      <c r="K687" s="5"/>
      <c r="L687" s="5"/>
      <c r="N687" s="3">
        <v>30</v>
      </c>
      <c r="O687" s="3">
        <v>30</v>
      </c>
    </row>
    <row r="688" spans="1:16" ht="15.75" hidden="1" x14ac:dyDescent="0.25">
      <c r="A688" s="48">
        <v>687</v>
      </c>
      <c r="B688" s="49" t="s">
        <v>1437</v>
      </c>
      <c r="C688" s="49" t="s">
        <v>1438</v>
      </c>
      <c r="D688" s="53" t="s">
        <v>47</v>
      </c>
      <c r="E688" s="53" t="s">
        <v>48</v>
      </c>
      <c r="F688" s="45">
        <f t="shared" si="88"/>
        <v>408</v>
      </c>
      <c r="G688" s="58">
        <f t="shared" si="89"/>
        <v>6.8</v>
      </c>
      <c r="H688" s="5">
        <v>90</v>
      </c>
      <c r="I688" s="5">
        <v>48</v>
      </c>
      <c r="J688" s="5">
        <v>60</v>
      </c>
      <c r="K688" s="5">
        <v>90</v>
      </c>
      <c r="L688" s="5"/>
      <c r="M688" s="3">
        <v>30</v>
      </c>
      <c r="N688" s="3">
        <v>30</v>
      </c>
      <c r="O688" s="3">
        <v>30</v>
      </c>
      <c r="P688" s="3">
        <v>30</v>
      </c>
    </row>
    <row r="689" spans="1:16" ht="15.75" hidden="1" x14ac:dyDescent="0.25">
      <c r="A689" s="48">
        <v>688</v>
      </c>
      <c r="B689" s="49" t="s">
        <v>1439</v>
      </c>
      <c r="C689" s="49" t="s">
        <v>1440</v>
      </c>
      <c r="D689" s="53" t="s">
        <v>47</v>
      </c>
      <c r="E689" s="53" t="s">
        <v>86</v>
      </c>
      <c r="F689" s="45">
        <f t="shared" si="88"/>
        <v>354</v>
      </c>
      <c r="G689" s="58">
        <f t="shared" si="89"/>
        <v>5.9</v>
      </c>
      <c r="H689" s="5"/>
      <c r="I689" s="5">
        <v>84</v>
      </c>
      <c r="J689" s="5">
        <v>60</v>
      </c>
      <c r="K689" s="5">
        <v>90</v>
      </c>
      <c r="L689" s="5"/>
      <c r="M689" s="3">
        <v>30</v>
      </c>
      <c r="N689" s="3">
        <v>30</v>
      </c>
      <c r="O689" s="3">
        <v>30</v>
      </c>
      <c r="P689" s="3">
        <v>30</v>
      </c>
    </row>
    <row r="690" spans="1:16" ht="15.75" hidden="1" x14ac:dyDescent="0.25">
      <c r="A690" s="48">
        <v>689</v>
      </c>
      <c r="B690" s="49" t="s">
        <v>1441</v>
      </c>
      <c r="C690" s="49" t="s">
        <v>1442</v>
      </c>
      <c r="D690" s="53" t="s">
        <v>47</v>
      </c>
      <c r="E690" s="53" t="s">
        <v>48</v>
      </c>
      <c r="F690" s="45">
        <f t="shared" si="88"/>
        <v>270</v>
      </c>
      <c r="G690" s="58">
        <f t="shared" si="89"/>
        <v>4.5</v>
      </c>
      <c r="H690" s="5"/>
      <c r="I690" s="5"/>
      <c r="J690" s="5"/>
      <c r="K690" s="5">
        <v>90</v>
      </c>
      <c r="L690" s="5">
        <v>60</v>
      </c>
      <c r="M690" s="3">
        <v>30</v>
      </c>
      <c r="N690" s="3">
        <v>30</v>
      </c>
      <c r="O690" s="3">
        <v>30</v>
      </c>
      <c r="P690" s="3">
        <v>30</v>
      </c>
    </row>
    <row r="691" spans="1:16" ht="15.75" hidden="1" x14ac:dyDescent="0.25">
      <c r="A691" s="48">
        <v>690</v>
      </c>
      <c r="B691" s="49" t="s">
        <v>1443</v>
      </c>
      <c r="C691" s="49" t="s">
        <v>1444</v>
      </c>
      <c r="D691" s="53" t="s">
        <v>47</v>
      </c>
      <c r="E691" s="53" t="s">
        <v>105</v>
      </c>
      <c r="F691" s="45">
        <f t="shared" si="88"/>
        <v>0</v>
      </c>
      <c r="G691" s="58">
        <f t="shared" si="89"/>
        <v>0</v>
      </c>
      <c r="H691" s="5"/>
      <c r="I691" s="5"/>
      <c r="J691" s="5"/>
      <c r="K691" s="5"/>
      <c r="L691" s="5"/>
    </row>
    <row r="692" spans="1:16" ht="15.75" hidden="1" x14ac:dyDescent="0.25">
      <c r="A692" s="48">
        <v>691</v>
      </c>
      <c r="B692" s="49" t="s">
        <v>1445</v>
      </c>
      <c r="C692" s="49" t="s">
        <v>1446</v>
      </c>
      <c r="D692" s="53" t="s">
        <v>47</v>
      </c>
      <c r="E692" s="53" t="s">
        <v>48</v>
      </c>
      <c r="F692" s="45">
        <f t="shared" si="88"/>
        <v>236</v>
      </c>
      <c r="G692" s="58">
        <f t="shared" si="89"/>
        <v>3.9333333333333331</v>
      </c>
      <c r="H692" s="5">
        <v>90</v>
      </c>
      <c r="I692" s="5">
        <v>26</v>
      </c>
      <c r="J692" s="5"/>
      <c r="K692" s="5">
        <v>90</v>
      </c>
      <c r="L692" s="5"/>
      <c r="P692" s="3">
        <v>30</v>
      </c>
    </row>
    <row r="693" spans="1:16" ht="15.75" hidden="1" x14ac:dyDescent="0.25">
      <c r="A693" s="48">
        <v>692</v>
      </c>
      <c r="B693" s="49" t="s">
        <v>1447</v>
      </c>
      <c r="C693" s="49" t="s">
        <v>1448</v>
      </c>
      <c r="D693" s="53" t="s">
        <v>47</v>
      </c>
      <c r="E693" s="53" t="s">
        <v>48</v>
      </c>
      <c r="F693" s="45">
        <f t="shared" si="88"/>
        <v>90</v>
      </c>
      <c r="G693" s="58">
        <f t="shared" si="89"/>
        <v>1.5</v>
      </c>
      <c r="H693" s="5"/>
      <c r="I693" s="5"/>
      <c r="J693" s="5"/>
      <c r="K693" s="5"/>
      <c r="L693" s="5"/>
      <c r="N693" s="3">
        <v>30</v>
      </c>
      <c r="O693" s="3">
        <v>30</v>
      </c>
      <c r="P693" s="3">
        <v>30</v>
      </c>
    </row>
    <row r="694" spans="1:16" ht="15.75" hidden="1" x14ac:dyDescent="0.25">
      <c r="A694" s="48">
        <v>693</v>
      </c>
      <c r="B694" s="49" t="s">
        <v>1449</v>
      </c>
      <c r="C694" s="49" t="s">
        <v>1450</v>
      </c>
      <c r="D694" s="53" t="s">
        <v>47</v>
      </c>
      <c r="E694" s="53" t="s">
        <v>48</v>
      </c>
      <c r="F694" s="45">
        <f t="shared" si="88"/>
        <v>0</v>
      </c>
      <c r="G694" s="58">
        <f t="shared" si="89"/>
        <v>0</v>
      </c>
      <c r="H694" s="5"/>
      <c r="I694" s="5"/>
      <c r="J694" s="5"/>
      <c r="K694" s="5"/>
      <c r="L694" s="5"/>
    </row>
    <row r="695" spans="1:16" ht="15.75" hidden="1" x14ac:dyDescent="0.25">
      <c r="A695" s="48">
        <v>694</v>
      </c>
      <c r="B695" s="49" t="s">
        <v>1451</v>
      </c>
      <c r="C695" s="49" t="s">
        <v>1452</v>
      </c>
      <c r="D695" s="53" t="s">
        <v>47</v>
      </c>
      <c r="E695" s="53" t="s">
        <v>51</v>
      </c>
      <c r="F695" s="45">
        <f t="shared" si="88"/>
        <v>0</v>
      </c>
      <c r="G695" s="58">
        <f t="shared" si="89"/>
        <v>0</v>
      </c>
      <c r="H695" s="5"/>
      <c r="I695" s="5"/>
      <c r="J695" s="5"/>
      <c r="K695" s="5"/>
      <c r="L695" s="5"/>
    </row>
    <row r="696" spans="1:16" ht="15.75" hidden="1" x14ac:dyDescent="0.25">
      <c r="A696" s="48">
        <v>695</v>
      </c>
      <c r="B696" s="49" t="s">
        <v>1453</v>
      </c>
      <c r="C696" s="49" t="s">
        <v>1454</v>
      </c>
      <c r="D696" s="53" t="s">
        <v>47</v>
      </c>
      <c r="E696" s="53" t="s">
        <v>51</v>
      </c>
      <c r="F696" s="45">
        <f t="shared" si="88"/>
        <v>0</v>
      </c>
      <c r="G696" s="58">
        <f t="shared" si="89"/>
        <v>0</v>
      </c>
      <c r="H696" s="5"/>
      <c r="I696" s="5"/>
      <c r="J696" s="5"/>
      <c r="K696" s="5"/>
      <c r="L696" s="5"/>
    </row>
    <row r="697" spans="1:16" ht="15.75" hidden="1" x14ac:dyDescent="0.25">
      <c r="A697" s="48">
        <v>696</v>
      </c>
      <c r="B697" s="49" t="s">
        <v>1455</v>
      </c>
      <c r="C697" s="49" t="s">
        <v>1456</v>
      </c>
      <c r="D697" s="53" t="s">
        <v>47</v>
      </c>
      <c r="E697" s="53" t="s">
        <v>105</v>
      </c>
      <c r="F697" s="45">
        <f t="shared" si="88"/>
        <v>0</v>
      </c>
      <c r="G697" s="58">
        <f t="shared" si="89"/>
        <v>0</v>
      </c>
      <c r="H697" s="5"/>
      <c r="I697" s="5"/>
      <c r="J697" s="5"/>
      <c r="K697" s="5"/>
      <c r="L697" s="5"/>
    </row>
    <row r="698" spans="1:16" ht="15.75" hidden="1" x14ac:dyDescent="0.25">
      <c r="A698" s="48">
        <v>697</v>
      </c>
      <c r="B698" s="49" t="s">
        <v>1457</v>
      </c>
      <c r="C698" s="49" t="s">
        <v>1458</v>
      </c>
      <c r="D698" s="53" t="s">
        <v>64</v>
      </c>
      <c r="E698" s="53" t="s">
        <v>186</v>
      </c>
      <c r="F698" s="45">
        <f t="shared" si="85"/>
        <v>0</v>
      </c>
      <c r="G698" s="58">
        <f t="shared" si="89"/>
        <v>0</v>
      </c>
      <c r="H698" s="5"/>
      <c r="I698" s="5"/>
      <c r="J698" s="5"/>
      <c r="K698" s="5"/>
      <c r="L698" s="5"/>
    </row>
    <row r="699" spans="1:16" ht="15.75" hidden="1" x14ac:dyDescent="0.25">
      <c r="A699" s="48">
        <v>698</v>
      </c>
      <c r="B699" s="49" t="s">
        <v>1459</v>
      </c>
      <c r="C699" s="49" t="s">
        <v>1460</v>
      </c>
      <c r="D699" s="53" t="s">
        <v>47</v>
      </c>
      <c r="E699" s="53" t="s">
        <v>48</v>
      </c>
      <c r="F699" s="45">
        <f>SUM($H699:$P699)</f>
        <v>0</v>
      </c>
      <c r="G699" s="58">
        <f t="shared" si="89"/>
        <v>0</v>
      </c>
      <c r="H699" s="5"/>
      <c r="I699" s="5"/>
      <c r="J699" s="5"/>
      <c r="K699" s="5"/>
      <c r="L699" s="5"/>
    </row>
    <row r="700" spans="1:16" ht="15.75" hidden="1" x14ac:dyDescent="0.25">
      <c r="A700" s="48">
        <v>699</v>
      </c>
      <c r="B700" s="49" t="s">
        <v>1461</v>
      </c>
      <c r="C700" s="49" t="s">
        <v>1462</v>
      </c>
      <c r="D700" s="53" t="s">
        <v>82</v>
      </c>
      <c r="E700" s="53" t="s">
        <v>140</v>
      </c>
      <c r="F700" s="45">
        <f t="shared" si="85"/>
        <v>0</v>
      </c>
      <c r="G700" s="58">
        <f t="shared" si="89"/>
        <v>0</v>
      </c>
      <c r="H700" s="5"/>
      <c r="I700" s="5"/>
      <c r="J700" s="5"/>
      <c r="K700" s="5"/>
      <c r="L700" s="5"/>
    </row>
    <row r="701" spans="1:16" ht="15.75" hidden="1" x14ac:dyDescent="0.25">
      <c r="A701" s="48">
        <v>700</v>
      </c>
      <c r="B701" s="49" t="s">
        <v>1463</v>
      </c>
      <c r="C701" s="49" t="s">
        <v>1464</v>
      </c>
      <c r="D701" s="53" t="s">
        <v>47</v>
      </c>
      <c r="E701" s="53" t="s">
        <v>48</v>
      </c>
      <c r="F701" s="45">
        <f t="shared" ref="F701:F705" si="90">SUM($H701:$P701)</f>
        <v>60</v>
      </c>
      <c r="G701" s="58">
        <f t="shared" si="89"/>
        <v>1</v>
      </c>
      <c r="H701" s="5"/>
      <c r="I701" s="5"/>
      <c r="J701" s="5"/>
      <c r="K701" s="5"/>
      <c r="L701" s="5">
        <v>60</v>
      </c>
    </row>
    <row r="702" spans="1:16" ht="15.75" hidden="1" x14ac:dyDescent="0.25">
      <c r="A702" s="48">
        <v>701</v>
      </c>
      <c r="B702" s="49" t="s">
        <v>1465</v>
      </c>
      <c r="C702" s="49" t="s">
        <v>1466</v>
      </c>
      <c r="D702" s="53" t="s">
        <v>47</v>
      </c>
      <c r="E702" s="53" t="s">
        <v>105</v>
      </c>
      <c r="F702" s="45">
        <f t="shared" si="90"/>
        <v>30</v>
      </c>
      <c r="G702" s="58">
        <f t="shared" si="89"/>
        <v>0.5</v>
      </c>
      <c r="H702" s="5"/>
      <c r="I702" s="5"/>
      <c r="J702" s="5"/>
      <c r="K702" s="5"/>
      <c r="L702" s="5"/>
      <c r="O702" s="3">
        <v>30</v>
      </c>
    </row>
    <row r="703" spans="1:16" ht="15.75" hidden="1" x14ac:dyDescent="0.25">
      <c r="A703" s="48">
        <v>702</v>
      </c>
      <c r="B703" s="49" t="s">
        <v>1467</v>
      </c>
      <c r="C703" s="49" t="s">
        <v>1468</v>
      </c>
      <c r="D703" s="53" t="s">
        <v>47</v>
      </c>
      <c r="E703" s="53" t="s">
        <v>48</v>
      </c>
      <c r="F703" s="45">
        <f t="shared" si="90"/>
        <v>60</v>
      </c>
      <c r="G703" s="58">
        <f t="shared" si="89"/>
        <v>1</v>
      </c>
      <c r="H703" s="5"/>
      <c r="I703" s="5"/>
      <c r="J703" s="5"/>
      <c r="K703" s="5"/>
      <c r="L703" s="5"/>
      <c r="N703" s="3">
        <v>30</v>
      </c>
      <c r="P703" s="3">
        <v>30</v>
      </c>
    </row>
    <row r="704" spans="1:16" ht="15.75" hidden="1" x14ac:dyDescent="0.25">
      <c r="A704" s="48">
        <v>703</v>
      </c>
      <c r="B704" s="49" t="s">
        <v>1469</v>
      </c>
      <c r="C704" s="49" t="s">
        <v>1470</v>
      </c>
      <c r="D704" s="53" t="s">
        <v>47</v>
      </c>
      <c r="E704" s="53" t="s">
        <v>984</v>
      </c>
      <c r="F704" s="45">
        <f t="shared" si="90"/>
        <v>120</v>
      </c>
      <c r="G704" s="58">
        <f t="shared" si="89"/>
        <v>2</v>
      </c>
      <c r="H704" s="5"/>
      <c r="I704" s="5"/>
      <c r="J704" s="5"/>
      <c r="K704" s="5">
        <v>90</v>
      </c>
      <c r="L704" s="5"/>
      <c r="O704" s="3">
        <v>30</v>
      </c>
    </row>
    <row r="705" spans="1:16" ht="15.75" hidden="1" x14ac:dyDescent="0.25">
      <c r="A705" s="48">
        <v>704</v>
      </c>
      <c r="B705" s="49" t="s">
        <v>1471</v>
      </c>
      <c r="C705" s="49" t="s">
        <v>1472</v>
      </c>
      <c r="D705" s="53" t="s">
        <v>47</v>
      </c>
      <c r="E705" s="53" t="s">
        <v>48</v>
      </c>
      <c r="F705" s="45">
        <f t="shared" si="90"/>
        <v>90</v>
      </c>
      <c r="G705" s="58">
        <f t="shared" si="89"/>
        <v>1.5</v>
      </c>
      <c r="H705" s="5"/>
      <c r="I705" s="5"/>
      <c r="J705" s="5"/>
      <c r="K705" s="5"/>
      <c r="L705" s="5"/>
      <c r="M705" s="3">
        <v>30</v>
      </c>
      <c r="N705" s="3">
        <v>30</v>
      </c>
      <c r="P705" s="3">
        <v>30</v>
      </c>
    </row>
    <row r="706" spans="1:16" ht="15.75" hidden="1" x14ac:dyDescent="0.25">
      <c r="A706" s="48">
        <v>705</v>
      </c>
      <c r="B706" s="49" t="s">
        <v>1473</v>
      </c>
      <c r="C706" s="49" t="s">
        <v>1474</v>
      </c>
      <c r="D706" s="53" t="s">
        <v>64</v>
      </c>
      <c r="E706" s="53" t="s">
        <v>186</v>
      </c>
      <c r="F706" s="45">
        <f t="shared" ref="F706:F767" si="91">SUM($H706:$K706)</f>
        <v>0</v>
      </c>
      <c r="G706" s="58">
        <f t="shared" si="89"/>
        <v>0</v>
      </c>
      <c r="H706" s="5"/>
      <c r="I706" s="5"/>
      <c r="J706" s="5"/>
      <c r="K706" s="5"/>
      <c r="L706" s="5"/>
    </row>
    <row r="707" spans="1:16" ht="15.75" hidden="1" x14ac:dyDescent="0.25">
      <c r="A707" s="48">
        <v>706</v>
      </c>
      <c r="B707" s="49" t="s">
        <v>1475</v>
      </c>
      <c r="C707" s="49" t="s">
        <v>1476</v>
      </c>
      <c r="D707" s="53" t="s">
        <v>47</v>
      </c>
      <c r="E707" s="53" t="s">
        <v>105</v>
      </c>
      <c r="F707" s="45">
        <f t="shared" ref="F707:F724" si="92">SUM($H707:$P707)</f>
        <v>0</v>
      </c>
      <c r="G707" s="58">
        <f t="shared" si="89"/>
        <v>0</v>
      </c>
      <c r="H707" s="5"/>
      <c r="I707" s="5"/>
      <c r="J707" s="5"/>
      <c r="K707" s="5"/>
      <c r="L707" s="5"/>
    </row>
    <row r="708" spans="1:16" ht="15.75" hidden="1" x14ac:dyDescent="0.25">
      <c r="A708" s="48">
        <v>707</v>
      </c>
      <c r="B708" s="49" t="s">
        <v>1477</v>
      </c>
      <c r="C708" s="49" t="s">
        <v>1478</v>
      </c>
      <c r="D708" s="53" t="s">
        <v>47</v>
      </c>
      <c r="E708" s="53" t="s">
        <v>48</v>
      </c>
      <c r="F708" s="45">
        <f t="shared" si="92"/>
        <v>0</v>
      </c>
      <c r="G708" s="58">
        <f t="shared" si="89"/>
        <v>0</v>
      </c>
      <c r="H708" s="5"/>
      <c r="I708" s="5"/>
      <c r="J708" s="5"/>
      <c r="K708" s="5"/>
      <c r="L708" s="5"/>
    </row>
    <row r="709" spans="1:16" ht="15.75" hidden="1" x14ac:dyDescent="0.25">
      <c r="A709" s="48">
        <v>708</v>
      </c>
      <c r="B709" s="49" t="s">
        <v>1479</v>
      </c>
      <c r="C709" s="49" t="s">
        <v>1480</v>
      </c>
      <c r="D709" s="53" t="s">
        <v>47</v>
      </c>
      <c r="E709" s="53" t="s">
        <v>48</v>
      </c>
      <c r="F709" s="45">
        <f t="shared" si="92"/>
        <v>180</v>
      </c>
      <c r="G709" s="58">
        <f t="shared" si="89"/>
        <v>3</v>
      </c>
      <c r="H709" s="5">
        <v>90</v>
      </c>
      <c r="I709" s="5"/>
      <c r="J709" s="5"/>
      <c r="K709" s="5">
        <v>90</v>
      </c>
      <c r="L709" s="5"/>
    </row>
    <row r="710" spans="1:16" ht="15.75" hidden="1" x14ac:dyDescent="0.25">
      <c r="A710" s="48">
        <v>709</v>
      </c>
      <c r="B710" s="49" t="s">
        <v>1481</v>
      </c>
      <c r="C710" s="49" t="s">
        <v>1482</v>
      </c>
      <c r="D710" s="53" t="s">
        <v>47</v>
      </c>
      <c r="E710" s="53" t="s">
        <v>48</v>
      </c>
      <c r="F710" s="45">
        <f t="shared" si="92"/>
        <v>0</v>
      </c>
      <c r="G710" s="58">
        <f t="shared" si="89"/>
        <v>0</v>
      </c>
      <c r="H710" s="5"/>
      <c r="I710" s="5"/>
      <c r="J710" s="5"/>
      <c r="K710" s="5"/>
      <c r="L710" s="5"/>
    </row>
    <row r="711" spans="1:16" ht="15.75" hidden="1" x14ac:dyDescent="0.25">
      <c r="A711" s="48">
        <v>710</v>
      </c>
      <c r="B711" s="49" t="s">
        <v>1483</v>
      </c>
      <c r="C711" s="49" t="s">
        <v>1484</v>
      </c>
      <c r="D711" s="53" t="s">
        <v>47</v>
      </c>
      <c r="E711" s="53" t="s">
        <v>48</v>
      </c>
      <c r="F711" s="45">
        <f t="shared" si="92"/>
        <v>30</v>
      </c>
      <c r="G711" s="58">
        <f t="shared" si="89"/>
        <v>0.5</v>
      </c>
      <c r="H711" s="5"/>
      <c r="I711" s="5"/>
      <c r="J711" s="5"/>
      <c r="K711" s="5"/>
      <c r="L711" s="5"/>
      <c r="M711" s="3">
        <v>30</v>
      </c>
    </row>
    <row r="712" spans="1:16" ht="15.75" hidden="1" x14ac:dyDescent="0.25">
      <c r="A712" s="48">
        <v>711</v>
      </c>
      <c r="B712" s="49" t="s">
        <v>1485</v>
      </c>
      <c r="C712" s="49" t="s">
        <v>1486</v>
      </c>
      <c r="D712" s="53" t="s">
        <v>47</v>
      </c>
      <c r="E712" s="53" t="s">
        <v>51</v>
      </c>
      <c r="F712" s="45">
        <f t="shared" si="92"/>
        <v>270</v>
      </c>
      <c r="G712" s="58">
        <f t="shared" si="89"/>
        <v>4.5</v>
      </c>
      <c r="H712" s="5"/>
      <c r="I712" s="5"/>
      <c r="J712" s="5"/>
      <c r="K712" s="5">
        <v>90</v>
      </c>
      <c r="L712" s="5">
        <v>60</v>
      </c>
      <c r="M712" s="3">
        <v>30</v>
      </c>
      <c r="N712" s="3">
        <v>30</v>
      </c>
      <c r="O712" s="3">
        <v>30</v>
      </c>
      <c r="P712" s="3">
        <v>30</v>
      </c>
    </row>
    <row r="713" spans="1:16" ht="15.75" hidden="1" x14ac:dyDescent="0.25">
      <c r="A713" s="48">
        <v>712</v>
      </c>
      <c r="B713" s="49" t="s">
        <v>1487</v>
      </c>
      <c r="C713" s="49" t="s">
        <v>1488</v>
      </c>
      <c r="D713" s="53" t="s">
        <v>47</v>
      </c>
      <c r="E713" s="53" t="s">
        <v>105</v>
      </c>
      <c r="F713" s="45">
        <f t="shared" si="92"/>
        <v>90</v>
      </c>
      <c r="G713" s="58">
        <f t="shared" si="89"/>
        <v>1.5</v>
      </c>
      <c r="H713" s="5"/>
      <c r="I713" s="5"/>
      <c r="J713" s="5"/>
      <c r="K713" s="5">
        <v>90</v>
      </c>
      <c r="L713" s="5"/>
    </row>
    <row r="714" spans="1:16" ht="15.75" hidden="1" x14ac:dyDescent="0.25">
      <c r="A714" s="48">
        <v>713</v>
      </c>
      <c r="B714" s="49" t="s">
        <v>1489</v>
      </c>
      <c r="C714" s="49" t="s">
        <v>1490</v>
      </c>
      <c r="D714" s="53" t="s">
        <v>47</v>
      </c>
      <c r="E714" s="53" t="s">
        <v>56</v>
      </c>
      <c r="F714" s="45">
        <f t="shared" si="92"/>
        <v>0</v>
      </c>
      <c r="G714" s="58">
        <f t="shared" si="89"/>
        <v>0</v>
      </c>
      <c r="H714" s="5"/>
      <c r="I714" s="5"/>
      <c r="J714" s="5"/>
      <c r="K714" s="5"/>
      <c r="L714" s="5"/>
    </row>
    <row r="715" spans="1:16" ht="15.75" hidden="1" x14ac:dyDescent="0.25">
      <c r="A715" s="48">
        <v>714</v>
      </c>
      <c r="B715" s="49" t="s">
        <v>1491</v>
      </c>
      <c r="C715" s="49" t="s">
        <v>1492</v>
      </c>
      <c r="D715" s="53" t="s">
        <v>47</v>
      </c>
      <c r="E715" s="53" t="s">
        <v>48</v>
      </c>
      <c r="F715" s="45">
        <f t="shared" si="92"/>
        <v>60</v>
      </c>
      <c r="G715" s="58">
        <f t="shared" si="89"/>
        <v>1</v>
      </c>
      <c r="H715" s="5"/>
      <c r="I715" s="5"/>
      <c r="J715" s="5"/>
      <c r="K715" s="5"/>
      <c r="L715" s="5"/>
      <c r="O715" s="3">
        <v>30</v>
      </c>
      <c r="P715" s="3">
        <v>30</v>
      </c>
    </row>
    <row r="716" spans="1:16" ht="15.75" hidden="1" x14ac:dyDescent="0.25">
      <c r="A716" s="48">
        <v>715</v>
      </c>
      <c r="B716" s="49" t="s">
        <v>1493</v>
      </c>
      <c r="C716" s="49" t="s">
        <v>1494</v>
      </c>
      <c r="D716" s="53" t="s">
        <v>47</v>
      </c>
      <c r="E716" s="53" t="s">
        <v>56</v>
      </c>
      <c r="F716" s="45">
        <f t="shared" si="92"/>
        <v>0</v>
      </c>
      <c r="G716" s="58">
        <f t="shared" si="89"/>
        <v>0</v>
      </c>
      <c r="H716" s="5"/>
      <c r="I716" s="5"/>
      <c r="J716" s="5"/>
      <c r="K716" s="5"/>
      <c r="L716" s="5"/>
    </row>
    <row r="717" spans="1:16" ht="15.75" hidden="1" x14ac:dyDescent="0.25">
      <c r="A717" s="48">
        <v>716</v>
      </c>
      <c r="B717" s="49" t="s">
        <v>1495</v>
      </c>
      <c r="C717" s="49" t="s">
        <v>1496</v>
      </c>
      <c r="D717" s="53" t="s">
        <v>47</v>
      </c>
      <c r="E717" s="53" t="s">
        <v>79</v>
      </c>
      <c r="F717" s="45">
        <f t="shared" si="92"/>
        <v>0</v>
      </c>
      <c r="G717" s="58">
        <f t="shared" si="89"/>
        <v>0</v>
      </c>
      <c r="H717" s="5"/>
      <c r="I717" s="5"/>
      <c r="J717" s="5"/>
      <c r="K717" s="5"/>
      <c r="L717" s="5"/>
    </row>
    <row r="718" spans="1:16" ht="15.75" hidden="1" x14ac:dyDescent="0.25">
      <c r="A718" s="48">
        <v>717</v>
      </c>
      <c r="B718" s="49" t="s">
        <v>1497</v>
      </c>
      <c r="C718" s="49" t="s">
        <v>1498</v>
      </c>
      <c r="D718" s="53" t="s">
        <v>47</v>
      </c>
      <c r="E718" s="53" t="s">
        <v>51</v>
      </c>
      <c r="F718" s="45">
        <f t="shared" si="92"/>
        <v>464</v>
      </c>
      <c r="G718" s="58">
        <f t="shared" si="89"/>
        <v>7.7333333333333334</v>
      </c>
      <c r="H718" s="5">
        <v>90</v>
      </c>
      <c r="I718" s="5">
        <v>74</v>
      </c>
      <c r="J718" s="5">
        <v>60</v>
      </c>
      <c r="K718" s="5">
        <v>90</v>
      </c>
      <c r="L718" s="5">
        <v>60</v>
      </c>
      <c r="M718" s="3">
        <v>30</v>
      </c>
      <c r="O718" s="3">
        <v>30</v>
      </c>
      <c r="P718" s="3">
        <v>30</v>
      </c>
    </row>
    <row r="719" spans="1:16" ht="15.75" hidden="1" x14ac:dyDescent="0.25">
      <c r="A719" s="48">
        <v>718</v>
      </c>
      <c r="B719" s="49" t="s">
        <v>1499</v>
      </c>
      <c r="C719" s="49" t="s">
        <v>1500</v>
      </c>
      <c r="D719" s="53" t="s">
        <v>47</v>
      </c>
      <c r="E719" s="53" t="s">
        <v>48</v>
      </c>
      <c r="F719" s="45">
        <f t="shared" si="92"/>
        <v>300</v>
      </c>
      <c r="G719" s="58">
        <f t="shared" si="89"/>
        <v>5</v>
      </c>
      <c r="H719" s="5">
        <v>90</v>
      </c>
      <c r="I719" s="5">
        <v>30</v>
      </c>
      <c r="J719" s="5"/>
      <c r="K719" s="5">
        <v>90</v>
      </c>
      <c r="L719" s="5"/>
      <c r="M719" s="3">
        <v>30</v>
      </c>
      <c r="N719" s="3">
        <v>30</v>
      </c>
      <c r="P719" s="3">
        <v>30</v>
      </c>
    </row>
    <row r="720" spans="1:16" ht="15.75" hidden="1" x14ac:dyDescent="0.25">
      <c r="A720" s="48">
        <v>719</v>
      </c>
      <c r="B720" s="49" t="s">
        <v>1501</v>
      </c>
      <c r="C720" s="49" t="s">
        <v>1502</v>
      </c>
      <c r="D720" s="53" t="s">
        <v>47</v>
      </c>
      <c r="E720" s="53" t="s">
        <v>86</v>
      </c>
      <c r="F720" s="45">
        <f t="shared" si="92"/>
        <v>120</v>
      </c>
      <c r="G720" s="58">
        <f t="shared" si="89"/>
        <v>2</v>
      </c>
      <c r="H720" s="5"/>
      <c r="I720" s="5"/>
      <c r="J720" s="5"/>
      <c r="K720" s="5"/>
      <c r="L720" s="5"/>
      <c r="M720" s="3">
        <v>30</v>
      </c>
      <c r="N720" s="3">
        <v>30</v>
      </c>
      <c r="O720" s="3">
        <v>30</v>
      </c>
      <c r="P720" s="3">
        <v>30</v>
      </c>
    </row>
    <row r="721" spans="1:16" ht="15.75" hidden="1" x14ac:dyDescent="0.25">
      <c r="A721" s="48">
        <v>720</v>
      </c>
      <c r="B721" s="49" t="s">
        <v>1503</v>
      </c>
      <c r="C721" s="49" t="s">
        <v>1504</v>
      </c>
      <c r="D721" s="53" t="s">
        <v>47</v>
      </c>
      <c r="E721" s="53" t="s">
        <v>48</v>
      </c>
      <c r="F721" s="45">
        <f t="shared" si="92"/>
        <v>378</v>
      </c>
      <c r="G721" s="58">
        <f t="shared" si="89"/>
        <v>6.3</v>
      </c>
      <c r="H721" s="5">
        <v>90</v>
      </c>
      <c r="I721" s="5">
        <v>78</v>
      </c>
      <c r="J721" s="5"/>
      <c r="K721" s="5">
        <v>90</v>
      </c>
      <c r="L721" s="5"/>
      <c r="M721" s="3">
        <v>30</v>
      </c>
      <c r="N721" s="3">
        <v>30</v>
      </c>
      <c r="O721" s="3">
        <v>30</v>
      </c>
      <c r="P721" s="3">
        <v>30</v>
      </c>
    </row>
    <row r="722" spans="1:16" ht="15.75" hidden="1" x14ac:dyDescent="0.25">
      <c r="A722" s="48">
        <v>721</v>
      </c>
      <c r="B722" s="49" t="s">
        <v>1505</v>
      </c>
      <c r="C722" s="49" t="s">
        <v>1506</v>
      </c>
      <c r="D722" s="53" t="s">
        <v>47</v>
      </c>
      <c r="E722" s="53" t="s">
        <v>1507</v>
      </c>
      <c r="F722" s="45">
        <f t="shared" si="92"/>
        <v>0</v>
      </c>
      <c r="G722" s="58">
        <f t="shared" si="89"/>
        <v>0</v>
      </c>
      <c r="H722" s="5"/>
      <c r="I722" s="5"/>
      <c r="J722" s="5"/>
      <c r="K722" s="5"/>
      <c r="L722" s="5"/>
    </row>
    <row r="723" spans="1:16" ht="15.75" hidden="1" x14ac:dyDescent="0.25">
      <c r="A723" s="48">
        <v>722</v>
      </c>
      <c r="B723" s="49" t="s">
        <v>1508</v>
      </c>
      <c r="C723" s="49" t="s">
        <v>1509</v>
      </c>
      <c r="D723" s="53" t="s">
        <v>47</v>
      </c>
      <c r="E723" s="53" t="s">
        <v>56</v>
      </c>
      <c r="F723" s="45">
        <f t="shared" si="92"/>
        <v>90</v>
      </c>
      <c r="G723" s="58">
        <f t="shared" si="89"/>
        <v>1.5</v>
      </c>
      <c r="H723" s="5"/>
      <c r="I723" s="5"/>
      <c r="J723" s="5"/>
      <c r="K723" s="5"/>
      <c r="L723" s="5"/>
      <c r="M723" s="3">
        <v>30</v>
      </c>
      <c r="O723" s="3">
        <v>30</v>
      </c>
      <c r="P723" s="3">
        <v>30</v>
      </c>
    </row>
    <row r="724" spans="1:16" ht="15.75" hidden="1" x14ac:dyDescent="0.25">
      <c r="A724" s="48">
        <v>723</v>
      </c>
      <c r="B724" s="49" t="s">
        <v>1510</v>
      </c>
      <c r="C724" s="49" t="s">
        <v>1511</v>
      </c>
      <c r="D724" s="53" t="s">
        <v>47</v>
      </c>
      <c r="E724" s="53" t="s">
        <v>48</v>
      </c>
      <c r="F724" s="45">
        <f t="shared" si="92"/>
        <v>0</v>
      </c>
      <c r="G724" s="58">
        <f t="shared" si="89"/>
        <v>0</v>
      </c>
      <c r="H724" s="5"/>
      <c r="I724" s="5"/>
      <c r="J724" s="5"/>
      <c r="K724" s="5"/>
      <c r="L724" s="5"/>
    </row>
    <row r="725" spans="1:16" ht="15.75" hidden="1" x14ac:dyDescent="0.25">
      <c r="A725" s="48">
        <v>724</v>
      </c>
      <c r="B725" s="49" t="s">
        <v>1512</v>
      </c>
      <c r="C725" s="49" t="s">
        <v>1513</v>
      </c>
      <c r="D725" s="53" t="s">
        <v>82</v>
      </c>
      <c r="E725" s="53" t="s">
        <v>140</v>
      </c>
      <c r="F725" s="45">
        <f t="shared" si="91"/>
        <v>0</v>
      </c>
      <c r="G725" s="58">
        <f t="shared" si="89"/>
        <v>0</v>
      </c>
      <c r="H725" s="5"/>
      <c r="I725" s="5"/>
      <c r="J725" s="5"/>
      <c r="K725" s="5"/>
      <c r="L725" s="5"/>
    </row>
    <row r="726" spans="1:16" ht="15.75" hidden="1" x14ac:dyDescent="0.25">
      <c r="A726" s="48">
        <v>725</v>
      </c>
      <c r="B726" s="49" t="s">
        <v>1514</v>
      </c>
      <c r="C726" s="49" t="s">
        <v>1515</v>
      </c>
      <c r="D726" s="53" t="s">
        <v>47</v>
      </c>
      <c r="E726" s="53" t="s">
        <v>79</v>
      </c>
      <c r="F726" s="45">
        <f t="shared" ref="F726:F729" si="93">SUM($H726:$P726)</f>
        <v>0</v>
      </c>
      <c r="G726" s="58">
        <f t="shared" si="89"/>
        <v>0</v>
      </c>
      <c r="H726" s="5"/>
      <c r="I726" s="5"/>
      <c r="J726" s="5"/>
      <c r="K726" s="5"/>
      <c r="L726" s="5"/>
    </row>
    <row r="727" spans="1:16" ht="15.75" hidden="1" x14ac:dyDescent="0.25">
      <c r="A727" s="48">
        <v>726</v>
      </c>
      <c r="B727" s="49" t="s">
        <v>1516</v>
      </c>
      <c r="C727" s="49" t="s">
        <v>1517</v>
      </c>
      <c r="D727" s="53" t="s">
        <v>47</v>
      </c>
      <c r="E727" s="53" t="s">
        <v>48</v>
      </c>
      <c r="F727" s="45">
        <f t="shared" si="93"/>
        <v>0</v>
      </c>
      <c r="G727" s="58">
        <f t="shared" si="89"/>
        <v>0</v>
      </c>
      <c r="H727" s="5"/>
      <c r="I727" s="5"/>
      <c r="J727" s="5"/>
      <c r="K727" s="5"/>
      <c r="L727" s="5"/>
    </row>
    <row r="728" spans="1:16" ht="15.75" hidden="1" x14ac:dyDescent="0.25">
      <c r="A728" s="48">
        <v>727</v>
      </c>
      <c r="B728" s="49" t="s">
        <v>1518</v>
      </c>
      <c r="C728" s="49" t="s">
        <v>1519</v>
      </c>
      <c r="D728" s="53" t="s">
        <v>47</v>
      </c>
      <c r="E728" s="53" t="s">
        <v>76</v>
      </c>
      <c r="F728" s="45">
        <f t="shared" si="93"/>
        <v>0</v>
      </c>
      <c r="G728" s="58">
        <f t="shared" si="89"/>
        <v>0</v>
      </c>
      <c r="H728" s="5"/>
      <c r="I728" s="5"/>
      <c r="J728" s="5"/>
      <c r="K728" s="5"/>
      <c r="L728" s="5"/>
    </row>
    <row r="729" spans="1:16" ht="15.75" hidden="1" x14ac:dyDescent="0.25">
      <c r="A729" s="48">
        <v>728</v>
      </c>
      <c r="B729" s="49" t="s">
        <v>1520</v>
      </c>
      <c r="C729" s="49" t="s">
        <v>1521</v>
      </c>
      <c r="D729" s="53" t="s">
        <v>47</v>
      </c>
      <c r="E729" s="53" t="s">
        <v>51</v>
      </c>
      <c r="F729" s="45">
        <f t="shared" si="93"/>
        <v>0</v>
      </c>
      <c r="G729" s="58">
        <f t="shared" si="89"/>
        <v>0</v>
      </c>
      <c r="H729" s="5"/>
      <c r="I729" s="5"/>
      <c r="J729" s="5"/>
      <c r="K729" s="5"/>
      <c r="L729" s="5"/>
    </row>
    <row r="730" spans="1:16" ht="15.75" hidden="1" x14ac:dyDescent="0.25">
      <c r="A730" s="48">
        <v>729</v>
      </c>
      <c r="B730" s="49" t="s">
        <v>1522</v>
      </c>
      <c r="C730" s="49" t="s">
        <v>1523</v>
      </c>
      <c r="D730" s="53" t="s">
        <v>64</v>
      </c>
      <c r="E730" s="53" t="s">
        <v>186</v>
      </c>
      <c r="F730" s="45">
        <f t="shared" si="91"/>
        <v>0</v>
      </c>
      <c r="G730" s="58">
        <f t="shared" si="89"/>
        <v>0</v>
      </c>
      <c r="H730" s="5"/>
      <c r="I730" s="5"/>
      <c r="J730" s="5"/>
      <c r="K730" s="5"/>
      <c r="L730" s="5"/>
    </row>
    <row r="731" spans="1:16" ht="15.75" hidden="1" x14ac:dyDescent="0.25">
      <c r="A731" s="48">
        <v>730</v>
      </c>
      <c r="B731" s="49" t="s">
        <v>1524</v>
      </c>
      <c r="C731" s="49" t="s">
        <v>1525</v>
      </c>
      <c r="D731" s="53" t="s">
        <v>47</v>
      </c>
      <c r="E731" s="53" t="s">
        <v>51</v>
      </c>
      <c r="F731" s="45">
        <f t="shared" ref="F731:F734" si="94">SUM($H731:$P731)</f>
        <v>360</v>
      </c>
      <c r="G731" s="58">
        <f t="shared" si="89"/>
        <v>6</v>
      </c>
      <c r="H731" s="5">
        <v>90</v>
      </c>
      <c r="I731" s="5"/>
      <c r="J731" s="5"/>
      <c r="K731" s="5">
        <v>90</v>
      </c>
      <c r="L731" s="5">
        <v>60</v>
      </c>
      <c r="M731" s="3">
        <v>30</v>
      </c>
      <c r="N731" s="3">
        <v>30</v>
      </c>
      <c r="O731" s="3">
        <v>30</v>
      </c>
      <c r="P731" s="3">
        <v>30</v>
      </c>
    </row>
    <row r="732" spans="1:16" ht="15.75" hidden="1" x14ac:dyDescent="0.25">
      <c r="A732" s="48">
        <v>731</v>
      </c>
      <c r="B732" s="49" t="s">
        <v>1526</v>
      </c>
      <c r="C732" s="49" t="s">
        <v>1527</v>
      </c>
      <c r="D732" s="53" t="s">
        <v>47</v>
      </c>
      <c r="E732" s="53" t="s">
        <v>48</v>
      </c>
      <c r="F732" s="45">
        <f t="shared" si="94"/>
        <v>204</v>
      </c>
      <c r="G732" s="58">
        <f t="shared" si="89"/>
        <v>3.4</v>
      </c>
      <c r="H732" s="5"/>
      <c r="I732" s="5">
        <v>84</v>
      </c>
      <c r="J732" s="5"/>
      <c r="K732" s="5"/>
      <c r="L732" s="5"/>
      <c r="M732" s="3">
        <v>30</v>
      </c>
      <c r="N732" s="3">
        <v>30</v>
      </c>
      <c r="O732" s="3">
        <v>30</v>
      </c>
      <c r="P732" s="3">
        <v>30</v>
      </c>
    </row>
    <row r="733" spans="1:16" ht="15.75" hidden="1" x14ac:dyDescent="0.25">
      <c r="A733" s="48">
        <v>732</v>
      </c>
      <c r="B733" s="49" t="s">
        <v>1528</v>
      </c>
      <c r="C733" s="49" t="s">
        <v>1529</v>
      </c>
      <c r="D733" s="53" t="s">
        <v>47</v>
      </c>
      <c r="E733" s="53" t="s">
        <v>51</v>
      </c>
      <c r="F733" s="45">
        <f t="shared" si="94"/>
        <v>60</v>
      </c>
      <c r="G733" s="58">
        <f t="shared" si="89"/>
        <v>1</v>
      </c>
      <c r="H733" s="5"/>
      <c r="I733" s="5"/>
      <c r="J733" s="5"/>
      <c r="K733" s="5"/>
      <c r="L733" s="5"/>
      <c r="N733" s="3">
        <v>30</v>
      </c>
      <c r="P733" s="3">
        <v>30</v>
      </c>
    </row>
    <row r="734" spans="1:16" ht="15.75" hidden="1" x14ac:dyDescent="0.25">
      <c r="A734" s="48">
        <v>733</v>
      </c>
      <c r="B734" s="49" t="s">
        <v>1530</v>
      </c>
      <c r="C734" s="49" t="s">
        <v>1531</v>
      </c>
      <c r="D734" s="53" t="s">
        <v>47</v>
      </c>
      <c r="E734" s="53" t="s">
        <v>76</v>
      </c>
      <c r="F734" s="45">
        <f t="shared" si="94"/>
        <v>210</v>
      </c>
      <c r="G734" s="58">
        <f t="shared" si="89"/>
        <v>3.5</v>
      </c>
      <c r="H734" s="5"/>
      <c r="I734" s="5"/>
      <c r="J734" s="5"/>
      <c r="K734" s="5">
        <v>90</v>
      </c>
      <c r="L734" s="5">
        <v>60</v>
      </c>
      <c r="N734" s="3">
        <v>30</v>
      </c>
      <c r="P734" s="3">
        <v>30</v>
      </c>
    </row>
    <row r="735" spans="1:16" ht="15.75" hidden="1" x14ac:dyDescent="0.25">
      <c r="A735" s="48">
        <v>734</v>
      </c>
      <c r="B735" s="49" t="s">
        <v>1532</v>
      </c>
      <c r="C735" s="49" t="s">
        <v>1533</v>
      </c>
      <c r="D735" s="53" t="s">
        <v>123</v>
      </c>
      <c r="E735" s="53" t="s">
        <v>123</v>
      </c>
      <c r="F735" s="45">
        <f t="shared" si="91"/>
        <v>0</v>
      </c>
      <c r="G735" s="57"/>
      <c r="H735" s="5"/>
      <c r="I735" s="5"/>
      <c r="J735" s="5"/>
      <c r="K735" s="5"/>
      <c r="L735" s="5"/>
      <c r="M735"/>
      <c r="N735"/>
      <c r="O735"/>
      <c r="P735"/>
    </row>
    <row r="736" spans="1:16" ht="15.75" hidden="1" x14ac:dyDescent="0.25">
      <c r="A736" s="48">
        <v>735</v>
      </c>
      <c r="B736" s="49" t="s">
        <v>1534</v>
      </c>
      <c r="C736" s="49" t="s">
        <v>1535</v>
      </c>
      <c r="D736" s="53" t="s">
        <v>47</v>
      </c>
      <c r="E736" s="53" t="s">
        <v>48</v>
      </c>
      <c r="F736" s="45">
        <f t="shared" ref="F736:F740" si="95">SUM($H736:$P736)</f>
        <v>0</v>
      </c>
      <c r="G736" s="58">
        <f t="shared" ref="G736:G743" si="96">F736/60</f>
        <v>0</v>
      </c>
      <c r="H736" s="5"/>
      <c r="I736" s="5"/>
      <c r="J736" s="5"/>
      <c r="K736" s="5"/>
      <c r="L736" s="5"/>
    </row>
    <row r="737" spans="1:16" ht="15.75" hidden="1" x14ac:dyDescent="0.25">
      <c r="A737" s="48">
        <v>736</v>
      </c>
      <c r="B737" s="49" t="s">
        <v>1536</v>
      </c>
      <c r="C737" s="49" t="s">
        <v>1537</v>
      </c>
      <c r="D737" s="53" t="s">
        <v>47</v>
      </c>
      <c r="E737" s="53" t="s">
        <v>79</v>
      </c>
      <c r="F737" s="45">
        <f t="shared" si="95"/>
        <v>0</v>
      </c>
      <c r="G737" s="58">
        <f t="shared" si="96"/>
        <v>0</v>
      </c>
      <c r="H737" s="5"/>
      <c r="I737" s="5"/>
      <c r="J737" s="5"/>
      <c r="K737" s="5"/>
      <c r="L737" s="5"/>
    </row>
    <row r="738" spans="1:16" ht="15.75" hidden="1" x14ac:dyDescent="0.25">
      <c r="A738" s="48">
        <v>737</v>
      </c>
      <c r="B738" s="49" t="s">
        <v>1538</v>
      </c>
      <c r="C738" s="49" t="s">
        <v>1539</v>
      </c>
      <c r="D738" s="53" t="s">
        <v>47</v>
      </c>
      <c r="E738" s="53" t="s">
        <v>86</v>
      </c>
      <c r="F738" s="45">
        <f t="shared" si="95"/>
        <v>0</v>
      </c>
      <c r="G738" s="58">
        <f t="shared" si="96"/>
        <v>0</v>
      </c>
      <c r="H738" s="5"/>
      <c r="I738" s="5"/>
      <c r="J738" s="5"/>
      <c r="K738" s="5"/>
      <c r="L738" s="5"/>
    </row>
    <row r="739" spans="1:16" ht="15.75" hidden="1" x14ac:dyDescent="0.25">
      <c r="A739" s="48">
        <v>738</v>
      </c>
      <c r="B739" s="49" t="s">
        <v>1540</v>
      </c>
      <c r="C739" s="49" t="s">
        <v>1541</v>
      </c>
      <c r="D739" s="53" t="s">
        <v>47</v>
      </c>
      <c r="E739" s="53" t="s">
        <v>116</v>
      </c>
      <c r="F739" s="45">
        <f t="shared" si="95"/>
        <v>0</v>
      </c>
      <c r="G739" s="58">
        <f t="shared" si="96"/>
        <v>0</v>
      </c>
      <c r="H739" s="5"/>
      <c r="I739" s="5"/>
      <c r="J739" s="5"/>
      <c r="K739" s="5"/>
      <c r="L739" s="5"/>
    </row>
    <row r="740" spans="1:16" ht="15.75" hidden="1" x14ac:dyDescent="0.25">
      <c r="A740" s="48">
        <v>739</v>
      </c>
      <c r="B740" s="49" t="s">
        <v>1542</v>
      </c>
      <c r="C740" s="49" t="s">
        <v>1543</v>
      </c>
      <c r="D740" s="53" t="s">
        <v>47</v>
      </c>
      <c r="E740" s="53" t="s">
        <v>86</v>
      </c>
      <c r="F740" s="45">
        <f t="shared" si="95"/>
        <v>150</v>
      </c>
      <c r="G740" s="58">
        <f t="shared" si="96"/>
        <v>2.5</v>
      </c>
      <c r="H740" s="5">
        <v>90</v>
      </c>
      <c r="I740" s="5"/>
      <c r="J740" s="5"/>
      <c r="K740" s="5"/>
      <c r="L740" s="5"/>
      <c r="N740" s="3">
        <v>30</v>
      </c>
      <c r="P740" s="3">
        <v>30</v>
      </c>
    </row>
    <row r="741" spans="1:16" ht="15.75" hidden="1" x14ac:dyDescent="0.25">
      <c r="A741" s="48">
        <v>740</v>
      </c>
      <c r="B741" s="49" t="s">
        <v>1544</v>
      </c>
      <c r="C741" s="49" t="s">
        <v>1545</v>
      </c>
      <c r="D741" s="53" t="s">
        <v>64</v>
      </c>
      <c r="E741" s="53" t="s">
        <v>65</v>
      </c>
      <c r="F741" s="45">
        <f t="shared" si="91"/>
        <v>0</v>
      </c>
      <c r="G741" s="58">
        <f t="shared" si="96"/>
        <v>0</v>
      </c>
      <c r="H741" s="5"/>
      <c r="I741" s="5"/>
      <c r="J741" s="5"/>
      <c r="K741" s="5"/>
      <c r="L741" s="5"/>
    </row>
    <row r="742" spans="1:16" ht="15.75" hidden="1" x14ac:dyDescent="0.25">
      <c r="A742" s="48">
        <v>741</v>
      </c>
      <c r="B742" s="49" t="s">
        <v>1546</v>
      </c>
      <c r="C742" s="49" t="s">
        <v>1547</v>
      </c>
      <c r="D742" s="53" t="s">
        <v>47</v>
      </c>
      <c r="E742" s="53" t="s">
        <v>76</v>
      </c>
      <c r="F742" s="45">
        <f t="shared" ref="F742:F743" si="97">SUM($H742:$P742)</f>
        <v>57</v>
      </c>
      <c r="G742" s="58">
        <f t="shared" si="96"/>
        <v>0.95</v>
      </c>
      <c r="H742" s="5"/>
      <c r="I742" s="5">
        <v>57</v>
      </c>
      <c r="J742" s="5"/>
      <c r="K742" s="5"/>
      <c r="L742" s="5"/>
    </row>
    <row r="743" spans="1:16" ht="15.75" hidden="1" x14ac:dyDescent="0.25">
      <c r="A743" s="48">
        <v>742</v>
      </c>
      <c r="B743" s="49" t="s">
        <v>1548</v>
      </c>
      <c r="C743" s="49" t="s">
        <v>1549</v>
      </c>
      <c r="D743" s="53" t="s">
        <v>47</v>
      </c>
      <c r="E743" s="53" t="s">
        <v>86</v>
      </c>
      <c r="F743" s="45">
        <f t="shared" si="97"/>
        <v>0</v>
      </c>
      <c r="G743" s="58">
        <f t="shared" si="96"/>
        <v>0</v>
      </c>
      <c r="H743" s="5"/>
      <c r="I743" s="5"/>
      <c r="J743" s="5"/>
      <c r="K743" s="5"/>
      <c r="L743" s="5"/>
    </row>
    <row r="744" spans="1:16" ht="15.75" hidden="1" x14ac:dyDescent="0.25">
      <c r="A744" s="48">
        <v>743</v>
      </c>
      <c r="B744" s="49" t="s">
        <v>1550</v>
      </c>
      <c r="C744" s="49" t="s">
        <v>1551</v>
      </c>
      <c r="D744" s="53" t="s">
        <v>123</v>
      </c>
      <c r="E744" s="53" t="s">
        <v>123</v>
      </c>
      <c r="F744" s="45">
        <f t="shared" si="91"/>
        <v>0</v>
      </c>
      <c r="G744" s="57"/>
      <c r="H744" s="5"/>
      <c r="I744" s="5"/>
      <c r="J744" s="5"/>
      <c r="K744" s="5"/>
      <c r="L744" s="5"/>
      <c r="M744"/>
      <c r="N744"/>
      <c r="O744"/>
      <c r="P744"/>
    </row>
    <row r="745" spans="1:16" ht="15.75" hidden="1" x14ac:dyDescent="0.25">
      <c r="A745" s="48">
        <v>744</v>
      </c>
      <c r="B745" s="49" t="s">
        <v>1552</v>
      </c>
      <c r="C745" s="49" t="s">
        <v>1553</v>
      </c>
      <c r="D745" s="53" t="s">
        <v>47</v>
      </c>
      <c r="E745" s="53" t="s">
        <v>79</v>
      </c>
      <c r="F745" s="45">
        <f>SUM($H745:$P745)</f>
        <v>0</v>
      </c>
      <c r="G745" s="58">
        <f t="shared" ref="G745:G761" si="98">F745/60</f>
        <v>0</v>
      </c>
      <c r="H745" s="5"/>
      <c r="I745" s="5"/>
      <c r="J745" s="5"/>
      <c r="K745" s="5"/>
      <c r="L745" s="5"/>
    </row>
    <row r="746" spans="1:16" ht="15.75" hidden="1" x14ac:dyDescent="0.25">
      <c r="A746" s="48">
        <v>745</v>
      </c>
      <c r="B746" s="49" t="s">
        <v>1554</v>
      </c>
      <c r="C746" s="49" t="s">
        <v>1555</v>
      </c>
      <c r="D746" s="53" t="s">
        <v>64</v>
      </c>
      <c r="E746" s="53" t="s">
        <v>65</v>
      </c>
      <c r="F746" s="45">
        <f t="shared" si="91"/>
        <v>0</v>
      </c>
      <c r="G746" s="58">
        <f t="shared" si="98"/>
        <v>0</v>
      </c>
      <c r="H746" s="5"/>
      <c r="I746" s="5"/>
      <c r="J746" s="5"/>
      <c r="K746" s="5"/>
      <c r="L746" s="5"/>
    </row>
    <row r="747" spans="1:16" ht="15.75" hidden="1" x14ac:dyDescent="0.25">
      <c r="A747" s="48">
        <v>746</v>
      </c>
      <c r="B747" s="49" t="s">
        <v>1556</v>
      </c>
      <c r="C747" s="49" t="s">
        <v>1557</v>
      </c>
      <c r="D747" s="53" t="s">
        <v>82</v>
      </c>
      <c r="E747" s="53" t="s">
        <v>83</v>
      </c>
      <c r="F747" s="45">
        <f t="shared" si="91"/>
        <v>0</v>
      </c>
      <c r="G747" s="58">
        <f t="shared" si="98"/>
        <v>0</v>
      </c>
      <c r="H747" s="5"/>
      <c r="I747" s="5"/>
      <c r="J747" s="5"/>
      <c r="K747" s="5"/>
      <c r="L747" s="5"/>
    </row>
    <row r="748" spans="1:16" ht="15.75" hidden="1" x14ac:dyDescent="0.25">
      <c r="A748" s="48">
        <v>747</v>
      </c>
      <c r="B748" s="49" t="s">
        <v>1558</v>
      </c>
      <c r="C748" s="49" t="s">
        <v>1559</v>
      </c>
      <c r="D748" s="53" t="s">
        <v>47</v>
      </c>
      <c r="E748" s="53" t="s">
        <v>51</v>
      </c>
      <c r="F748" s="45">
        <f t="shared" ref="F748:F759" si="99">SUM($H748:$P748)</f>
        <v>0</v>
      </c>
      <c r="G748" s="58">
        <f t="shared" si="98"/>
        <v>0</v>
      </c>
      <c r="H748" s="5"/>
      <c r="I748" s="5"/>
      <c r="J748" s="5"/>
      <c r="K748" s="5"/>
      <c r="L748" s="5"/>
    </row>
    <row r="749" spans="1:16" ht="15.75" hidden="1" x14ac:dyDescent="0.25">
      <c r="A749" s="48">
        <v>748</v>
      </c>
      <c r="B749" s="49" t="s">
        <v>1560</v>
      </c>
      <c r="C749" s="49" t="s">
        <v>1561</v>
      </c>
      <c r="D749" s="53" t="s">
        <v>47</v>
      </c>
      <c r="E749" s="53" t="s">
        <v>51</v>
      </c>
      <c r="F749" s="45">
        <f t="shared" si="99"/>
        <v>0</v>
      </c>
      <c r="G749" s="58">
        <f t="shared" si="98"/>
        <v>0</v>
      </c>
      <c r="H749" s="5"/>
      <c r="I749" s="5"/>
      <c r="J749" s="5"/>
      <c r="K749" s="5"/>
      <c r="L749" s="5"/>
    </row>
    <row r="750" spans="1:16" ht="15.75" hidden="1" x14ac:dyDescent="0.25">
      <c r="A750" s="48">
        <v>749</v>
      </c>
      <c r="B750" s="49" t="s">
        <v>1562</v>
      </c>
      <c r="C750" s="49" t="s">
        <v>1563</v>
      </c>
      <c r="D750" s="53" t="s">
        <v>47</v>
      </c>
      <c r="E750" s="53" t="s">
        <v>48</v>
      </c>
      <c r="F750" s="45">
        <f t="shared" si="99"/>
        <v>364</v>
      </c>
      <c r="G750" s="58">
        <f t="shared" si="98"/>
        <v>6.0666666666666664</v>
      </c>
      <c r="H750" s="5">
        <v>90</v>
      </c>
      <c r="I750" s="5">
        <v>64</v>
      </c>
      <c r="J750" s="5"/>
      <c r="K750" s="5">
        <v>90</v>
      </c>
      <c r="L750" s="5"/>
      <c r="M750" s="3">
        <v>30</v>
      </c>
      <c r="N750" s="3">
        <v>30</v>
      </c>
      <c r="O750" s="3">
        <v>30</v>
      </c>
      <c r="P750" s="3">
        <v>30</v>
      </c>
    </row>
    <row r="751" spans="1:16" ht="15.75" hidden="1" x14ac:dyDescent="0.25">
      <c r="A751" s="48">
        <v>750</v>
      </c>
      <c r="B751" s="49" t="s">
        <v>1564</v>
      </c>
      <c r="C751" s="49" t="s">
        <v>1565</v>
      </c>
      <c r="D751" s="53" t="s">
        <v>47</v>
      </c>
      <c r="E751" s="53" t="s">
        <v>48</v>
      </c>
      <c r="F751" s="45">
        <f t="shared" si="99"/>
        <v>150</v>
      </c>
      <c r="G751" s="58">
        <f t="shared" si="98"/>
        <v>2.5</v>
      </c>
      <c r="H751" s="5"/>
      <c r="I751" s="5"/>
      <c r="J751" s="5">
        <v>60</v>
      </c>
      <c r="K751" s="5">
        <v>90</v>
      </c>
      <c r="L751" s="5"/>
    </row>
    <row r="752" spans="1:16" ht="15.75" hidden="1" x14ac:dyDescent="0.25">
      <c r="A752" s="48">
        <v>751</v>
      </c>
      <c r="B752" s="49" t="s">
        <v>1566</v>
      </c>
      <c r="C752" s="49" t="s">
        <v>1567</v>
      </c>
      <c r="D752" s="53" t="s">
        <v>47</v>
      </c>
      <c r="E752" s="53" t="s">
        <v>48</v>
      </c>
      <c r="F752" s="45">
        <f t="shared" si="99"/>
        <v>60</v>
      </c>
      <c r="G752" s="58">
        <f t="shared" si="98"/>
        <v>1</v>
      </c>
      <c r="H752" s="5"/>
      <c r="I752" s="5"/>
      <c r="J752" s="5"/>
      <c r="K752" s="5"/>
      <c r="L752" s="5"/>
      <c r="O752" s="3">
        <v>30</v>
      </c>
      <c r="P752" s="3">
        <v>30</v>
      </c>
    </row>
    <row r="753" spans="1:16" ht="15.75" hidden="1" x14ac:dyDescent="0.25">
      <c r="A753" s="48">
        <v>752</v>
      </c>
      <c r="B753" s="49" t="s">
        <v>1568</v>
      </c>
      <c r="C753" s="49" t="s">
        <v>1569</v>
      </c>
      <c r="D753" s="53" t="s">
        <v>47</v>
      </c>
      <c r="E753" s="53" t="s">
        <v>56</v>
      </c>
      <c r="F753" s="45">
        <f t="shared" si="99"/>
        <v>30</v>
      </c>
      <c r="G753" s="58">
        <f t="shared" si="98"/>
        <v>0.5</v>
      </c>
      <c r="H753" s="5"/>
      <c r="I753" s="5"/>
      <c r="J753" s="5"/>
      <c r="K753" s="5"/>
      <c r="L753" s="5"/>
      <c r="N753" s="3">
        <v>30</v>
      </c>
    </row>
    <row r="754" spans="1:16" ht="15.75" hidden="1" x14ac:dyDescent="0.25">
      <c r="A754" s="48">
        <v>753</v>
      </c>
      <c r="B754" s="49" t="s">
        <v>1570</v>
      </c>
      <c r="C754" s="49" t="s">
        <v>1571</v>
      </c>
      <c r="D754" s="53" t="s">
        <v>47</v>
      </c>
      <c r="E754" s="53" t="s">
        <v>48</v>
      </c>
      <c r="F754" s="45">
        <f t="shared" si="99"/>
        <v>150</v>
      </c>
      <c r="G754" s="58">
        <f t="shared" si="98"/>
        <v>2.5</v>
      </c>
      <c r="H754" s="5">
        <v>90</v>
      </c>
      <c r="I754" s="5"/>
      <c r="J754" s="5"/>
      <c r="K754" s="5"/>
      <c r="L754" s="5"/>
      <c r="O754" s="3">
        <v>30</v>
      </c>
      <c r="P754" s="3">
        <v>30</v>
      </c>
    </row>
    <row r="755" spans="1:16" ht="15.75" hidden="1" x14ac:dyDescent="0.25">
      <c r="A755" s="48">
        <v>754</v>
      </c>
      <c r="B755" s="49" t="s">
        <v>1572</v>
      </c>
      <c r="C755" s="49" t="s">
        <v>1573</v>
      </c>
      <c r="D755" s="53" t="s">
        <v>47</v>
      </c>
      <c r="E755" s="53" t="s">
        <v>76</v>
      </c>
      <c r="F755" s="45">
        <f t="shared" si="99"/>
        <v>120</v>
      </c>
      <c r="G755" s="58">
        <f t="shared" si="98"/>
        <v>2</v>
      </c>
      <c r="H755" s="5"/>
      <c r="I755" s="5"/>
      <c r="J755" s="5"/>
      <c r="K755" s="5"/>
      <c r="L755" s="5"/>
      <c r="M755" s="3">
        <v>30</v>
      </c>
      <c r="N755" s="3">
        <v>30</v>
      </c>
      <c r="O755" s="3">
        <v>30</v>
      </c>
      <c r="P755" s="3">
        <v>30</v>
      </c>
    </row>
    <row r="756" spans="1:16" ht="15.75" hidden="1" x14ac:dyDescent="0.25">
      <c r="A756" s="48">
        <v>755</v>
      </c>
      <c r="B756" s="49" t="s">
        <v>1574</v>
      </c>
      <c r="C756" s="49" t="s">
        <v>1575</v>
      </c>
      <c r="D756" s="53" t="s">
        <v>47</v>
      </c>
      <c r="E756" s="53" t="s">
        <v>79</v>
      </c>
      <c r="F756" s="45">
        <f t="shared" si="99"/>
        <v>0</v>
      </c>
      <c r="G756" s="58">
        <f t="shared" si="98"/>
        <v>0</v>
      </c>
      <c r="H756" s="5"/>
      <c r="I756" s="5"/>
      <c r="J756" s="5"/>
      <c r="K756" s="5"/>
      <c r="L756" s="5"/>
    </row>
    <row r="757" spans="1:16" ht="15.75" hidden="1" x14ac:dyDescent="0.25">
      <c r="A757" s="48">
        <v>756</v>
      </c>
      <c r="B757" s="49" t="s">
        <v>1576</v>
      </c>
      <c r="C757" s="49" t="s">
        <v>1577</v>
      </c>
      <c r="D757" s="53" t="s">
        <v>47</v>
      </c>
      <c r="E757" s="53" t="s">
        <v>56</v>
      </c>
      <c r="F757" s="45">
        <f t="shared" si="99"/>
        <v>76</v>
      </c>
      <c r="G757" s="58">
        <f t="shared" si="98"/>
        <v>1.2666666666666666</v>
      </c>
      <c r="H757" s="5"/>
      <c r="I757" s="5">
        <v>76</v>
      </c>
      <c r="J757" s="5"/>
      <c r="K757" s="5"/>
      <c r="L757" s="5"/>
    </row>
    <row r="758" spans="1:16" ht="15.75" hidden="1" x14ac:dyDescent="0.25">
      <c r="A758" s="48">
        <v>757</v>
      </c>
      <c r="B758" s="49" t="s">
        <v>1578</v>
      </c>
      <c r="C758" s="49" t="s">
        <v>1579</v>
      </c>
      <c r="D758" s="53" t="s">
        <v>47</v>
      </c>
      <c r="E758" s="53" t="s">
        <v>205</v>
      </c>
      <c r="F758" s="45">
        <f t="shared" si="99"/>
        <v>0</v>
      </c>
      <c r="G758" s="58">
        <f t="shared" si="98"/>
        <v>0</v>
      </c>
      <c r="H758" s="5"/>
      <c r="I758" s="5"/>
      <c r="J758" s="5"/>
      <c r="K758" s="5"/>
      <c r="L758" s="5"/>
    </row>
    <row r="759" spans="1:16" ht="15.75" hidden="1" x14ac:dyDescent="0.25">
      <c r="A759" s="48">
        <v>758</v>
      </c>
      <c r="B759" s="49" t="s">
        <v>1580</v>
      </c>
      <c r="C759" s="49" t="s">
        <v>1581</v>
      </c>
      <c r="D759" s="53" t="s">
        <v>47</v>
      </c>
      <c r="E759" s="53" t="s">
        <v>51</v>
      </c>
      <c r="F759" s="45">
        <f t="shared" si="99"/>
        <v>0</v>
      </c>
      <c r="G759" s="58">
        <f t="shared" si="98"/>
        <v>0</v>
      </c>
      <c r="H759" s="5"/>
      <c r="I759" s="5"/>
      <c r="J759" s="5"/>
      <c r="K759" s="5"/>
      <c r="L759" s="5"/>
    </row>
    <row r="760" spans="1:16" ht="15.75" hidden="1" x14ac:dyDescent="0.25">
      <c r="A760" s="48">
        <v>759</v>
      </c>
      <c r="B760" s="49" t="s">
        <v>1582</v>
      </c>
      <c r="C760" s="49" t="s">
        <v>1583</v>
      </c>
      <c r="D760" s="53" t="s">
        <v>64</v>
      </c>
      <c r="E760" s="53" t="s">
        <v>186</v>
      </c>
      <c r="F760" s="45">
        <f t="shared" si="91"/>
        <v>0</v>
      </c>
      <c r="G760" s="58">
        <f t="shared" si="98"/>
        <v>0</v>
      </c>
      <c r="H760" s="5"/>
      <c r="I760" s="5"/>
      <c r="J760" s="5"/>
      <c r="K760" s="5"/>
      <c r="L760" s="5"/>
    </row>
    <row r="761" spans="1:16" ht="15.75" hidden="1" x14ac:dyDescent="0.25">
      <c r="A761" s="48">
        <v>760</v>
      </c>
      <c r="B761" s="49" t="s">
        <v>1584</v>
      </c>
      <c r="C761" s="49" t="s">
        <v>1585</v>
      </c>
      <c r="D761" s="53" t="s">
        <v>47</v>
      </c>
      <c r="E761" s="53" t="s">
        <v>116</v>
      </c>
      <c r="F761" s="45">
        <f>SUM($H761:$P761)</f>
        <v>0</v>
      </c>
      <c r="G761" s="58">
        <f t="shared" si="98"/>
        <v>0</v>
      </c>
      <c r="H761" s="5"/>
      <c r="I761" s="5"/>
      <c r="J761" s="5"/>
      <c r="K761" s="5"/>
      <c r="L761" s="5"/>
    </row>
    <row r="762" spans="1:16" ht="15.75" hidden="1" x14ac:dyDescent="0.25">
      <c r="A762" s="48">
        <v>761</v>
      </c>
      <c r="B762" s="49" t="s">
        <v>1586</v>
      </c>
      <c r="C762" s="49" t="s">
        <v>1587</v>
      </c>
      <c r="D762" s="53" t="s">
        <v>123</v>
      </c>
      <c r="E762" s="53" t="s">
        <v>123</v>
      </c>
      <c r="F762" s="45">
        <f t="shared" si="91"/>
        <v>0</v>
      </c>
      <c r="G762" s="57"/>
      <c r="H762" s="5"/>
      <c r="I762" s="5"/>
      <c r="J762" s="5"/>
      <c r="K762" s="5"/>
      <c r="L762" s="5"/>
      <c r="M762"/>
      <c r="N762"/>
      <c r="O762"/>
      <c r="P762"/>
    </row>
    <row r="763" spans="1:16" ht="15.75" hidden="1" x14ac:dyDescent="0.25">
      <c r="A763" s="48">
        <v>762</v>
      </c>
      <c r="B763" s="49" t="s">
        <v>1588</v>
      </c>
      <c r="C763" s="49" t="s">
        <v>1589</v>
      </c>
      <c r="D763" s="53" t="s">
        <v>47</v>
      </c>
      <c r="E763" s="53" t="s">
        <v>51</v>
      </c>
      <c r="F763" s="45">
        <f t="shared" ref="F763:F766" si="100">SUM($H763:$P763)</f>
        <v>0</v>
      </c>
      <c r="G763" s="58">
        <f t="shared" ref="G763:G803" si="101">F763/60</f>
        <v>0</v>
      </c>
      <c r="H763" s="5"/>
      <c r="I763" s="5"/>
      <c r="J763" s="5"/>
      <c r="K763" s="5"/>
      <c r="L763" s="5"/>
    </row>
    <row r="764" spans="1:16" ht="15.75" hidden="1" x14ac:dyDescent="0.25">
      <c r="A764" s="48">
        <v>763</v>
      </c>
      <c r="B764" s="49" t="s">
        <v>1590</v>
      </c>
      <c r="C764" s="49" t="s">
        <v>1591</v>
      </c>
      <c r="D764" s="53" t="s">
        <v>47</v>
      </c>
      <c r="E764" s="53" t="s">
        <v>105</v>
      </c>
      <c r="F764" s="45">
        <f t="shared" si="100"/>
        <v>0</v>
      </c>
      <c r="G764" s="58">
        <f t="shared" si="101"/>
        <v>0</v>
      </c>
      <c r="H764" s="5"/>
      <c r="I764" s="5"/>
      <c r="J764" s="5"/>
      <c r="K764" s="5"/>
      <c r="L764" s="5"/>
    </row>
    <row r="765" spans="1:16" ht="15.75" hidden="1" x14ac:dyDescent="0.25">
      <c r="A765" s="48">
        <v>764</v>
      </c>
      <c r="B765" s="49" t="s">
        <v>1592</v>
      </c>
      <c r="C765" s="49" t="s">
        <v>1593</v>
      </c>
      <c r="D765" s="53" t="s">
        <v>47</v>
      </c>
      <c r="E765" s="53" t="s">
        <v>48</v>
      </c>
      <c r="F765" s="45">
        <f t="shared" si="100"/>
        <v>180</v>
      </c>
      <c r="G765" s="58">
        <f t="shared" si="101"/>
        <v>3</v>
      </c>
      <c r="H765" s="5">
        <v>90</v>
      </c>
      <c r="I765" s="5"/>
      <c r="J765" s="5"/>
      <c r="K765" s="5"/>
      <c r="L765" s="5"/>
      <c r="M765" s="3">
        <v>30</v>
      </c>
      <c r="O765" s="3">
        <v>30</v>
      </c>
      <c r="P765" s="3">
        <v>30</v>
      </c>
    </row>
    <row r="766" spans="1:16" ht="15.75" hidden="1" x14ac:dyDescent="0.25">
      <c r="A766" s="48">
        <v>765</v>
      </c>
      <c r="B766" s="49" t="s">
        <v>1594</v>
      </c>
      <c r="C766" s="49" t="s">
        <v>1595</v>
      </c>
      <c r="D766" s="53" t="s">
        <v>47</v>
      </c>
      <c r="E766" s="53" t="s">
        <v>48</v>
      </c>
      <c r="F766" s="45">
        <f t="shared" si="100"/>
        <v>0</v>
      </c>
      <c r="G766" s="58">
        <f t="shared" si="101"/>
        <v>0</v>
      </c>
      <c r="H766" s="5"/>
      <c r="I766" s="5"/>
      <c r="J766" s="5"/>
      <c r="K766" s="5"/>
      <c r="L766" s="5"/>
    </row>
    <row r="767" spans="1:16" ht="15.75" hidden="1" x14ac:dyDescent="0.25">
      <c r="A767" s="48">
        <v>766</v>
      </c>
      <c r="B767" s="49" t="s">
        <v>1596</v>
      </c>
      <c r="C767" s="49" t="s">
        <v>1597</v>
      </c>
      <c r="D767" s="53" t="s">
        <v>82</v>
      </c>
      <c r="E767" s="53" t="s">
        <v>83</v>
      </c>
      <c r="F767" s="45">
        <f t="shared" si="91"/>
        <v>0</v>
      </c>
      <c r="G767" s="58">
        <f t="shared" si="101"/>
        <v>0</v>
      </c>
      <c r="H767" s="5"/>
      <c r="I767" s="5"/>
      <c r="J767" s="5"/>
      <c r="K767" s="5"/>
      <c r="L767" s="5"/>
    </row>
    <row r="768" spans="1:16" ht="15.75" hidden="1" x14ac:dyDescent="0.25">
      <c r="A768" s="48">
        <v>767</v>
      </c>
      <c r="B768" s="49" t="s">
        <v>1598</v>
      </c>
      <c r="C768" s="49" t="s">
        <v>1599</v>
      </c>
      <c r="D768" s="53" t="s">
        <v>47</v>
      </c>
      <c r="E768" s="53" t="s">
        <v>48</v>
      </c>
      <c r="F768" s="45">
        <f t="shared" ref="F768:F788" si="102">SUM($H768:$P768)</f>
        <v>270</v>
      </c>
      <c r="G768" s="58">
        <f t="shared" si="101"/>
        <v>4.5</v>
      </c>
      <c r="H768" s="5">
        <v>90</v>
      </c>
      <c r="I768" s="5"/>
      <c r="J768" s="5"/>
      <c r="K768" s="5">
        <v>90</v>
      </c>
      <c r="L768" s="5"/>
      <c r="M768" s="3">
        <v>30</v>
      </c>
      <c r="N768" s="3">
        <v>30</v>
      </c>
      <c r="P768" s="3">
        <v>30</v>
      </c>
    </row>
    <row r="769" spans="1:16" ht="15.75" hidden="1" x14ac:dyDescent="0.25">
      <c r="A769" s="48">
        <v>768</v>
      </c>
      <c r="B769" s="49" t="s">
        <v>1600</v>
      </c>
      <c r="C769" s="49" t="s">
        <v>1601</v>
      </c>
      <c r="D769" s="53" t="s">
        <v>47</v>
      </c>
      <c r="E769" s="53" t="s">
        <v>105</v>
      </c>
      <c r="F769" s="45">
        <f t="shared" si="102"/>
        <v>0</v>
      </c>
      <c r="G769" s="58">
        <f t="shared" si="101"/>
        <v>0</v>
      </c>
      <c r="H769" s="5"/>
      <c r="I769" s="5"/>
      <c r="J769" s="5"/>
      <c r="K769" s="5"/>
      <c r="L769" s="5"/>
    </row>
    <row r="770" spans="1:16" ht="15.75" hidden="1" x14ac:dyDescent="0.25">
      <c r="A770" s="48">
        <v>769</v>
      </c>
      <c r="B770" s="49" t="s">
        <v>1602</v>
      </c>
      <c r="C770" s="49" t="s">
        <v>1603</v>
      </c>
      <c r="D770" s="53" t="s">
        <v>47</v>
      </c>
      <c r="E770" s="53" t="s">
        <v>56</v>
      </c>
      <c r="F770" s="45">
        <f t="shared" si="102"/>
        <v>78</v>
      </c>
      <c r="G770" s="58">
        <f t="shared" si="101"/>
        <v>1.3</v>
      </c>
      <c r="H770" s="5"/>
      <c r="I770" s="5">
        <v>78</v>
      </c>
      <c r="J770" s="5"/>
      <c r="K770" s="5"/>
      <c r="L770" s="5"/>
    </row>
    <row r="771" spans="1:16" ht="15.75" hidden="1" x14ac:dyDescent="0.25">
      <c r="A771" s="48">
        <v>770</v>
      </c>
      <c r="B771" s="49" t="s">
        <v>1604</v>
      </c>
      <c r="C771" s="49" t="s">
        <v>1605</v>
      </c>
      <c r="D771" s="53" t="s">
        <v>47</v>
      </c>
      <c r="E771" s="53" t="s">
        <v>116</v>
      </c>
      <c r="F771" s="45">
        <f t="shared" si="102"/>
        <v>0</v>
      </c>
      <c r="G771" s="58">
        <f t="shared" si="101"/>
        <v>0</v>
      </c>
      <c r="H771" s="5"/>
      <c r="I771" s="5"/>
      <c r="J771" s="5"/>
      <c r="K771" s="5"/>
      <c r="L771" s="5"/>
    </row>
    <row r="772" spans="1:16" ht="15.75" hidden="1" x14ac:dyDescent="0.25">
      <c r="A772" s="48">
        <v>771</v>
      </c>
      <c r="B772" s="49" t="s">
        <v>1606</v>
      </c>
      <c r="C772" s="49" t="s">
        <v>1607</v>
      </c>
      <c r="D772" s="53" t="s">
        <v>47</v>
      </c>
      <c r="E772" s="53" t="s">
        <v>105</v>
      </c>
      <c r="F772" s="45">
        <f t="shared" si="102"/>
        <v>60</v>
      </c>
      <c r="G772" s="58">
        <f t="shared" si="101"/>
        <v>1</v>
      </c>
      <c r="H772" s="5"/>
      <c r="I772" s="5"/>
      <c r="J772" s="5"/>
      <c r="K772" s="5"/>
      <c r="L772" s="5"/>
      <c r="O772" s="3">
        <v>30</v>
      </c>
      <c r="P772" s="3">
        <v>30</v>
      </c>
    </row>
    <row r="773" spans="1:16" ht="15.75" hidden="1" x14ac:dyDescent="0.25">
      <c r="A773" s="48">
        <v>772</v>
      </c>
      <c r="B773" s="49" t="s">
        <v>1608</v>
      </c>
      <c r="C773" s="49" t="s">
        <v>1609</v>
      </c>
      <c r="D773" s="53" t="s">
        <v>47</v>
      </c>
      <c r="E773" s="53" t="s">
        <v>48</v>
      </c>
      <c r="F773" s="45">
        <f t="shared" si="102"/>
        <v>0</v>
      </c>
      <c r="G773" s="58">
        <f t="shared" si="101"/>
        <v>0</v>
      </c>
      <c r="H773" s="5"/>
      <c r="I773" s="5"/>
      <c r="J773" s="5"/>
      <c r="K773" s="5"/>
      <c r="L773" s="5"/>
    </row>
    <row r="774" spans="1:16" ht="15.75" hidden="1" x14ac:dyDescent="0.25">
      <c r="A774" s="48">
        <v>773</v>
      </c>
      <c r="B774" s="49" t="s">
        <v>1610</v>
      </c>
      <c r="C774" s="49" t="s">
        <v>1611</v>
      </c>
      <c r="D774" s="53" t="s">
        <v>47</v>
      </c>
      <c r="E774" s="53" t="s">
        <v>105</v>
      </c>
      <c r="F774" s="45">
        <f t="shared" si="102"/>
        <v>0</v>
      </c>
      <c r="G774" s="58">
        <f t="shared" si="101"/>
        <v>0</v>
      </c>
      <c r="H774" s="5"/>
      <c r="I774" s="5"/>
      <c r="J774" s="5"/>
      <c r="K774" s="5"/>
      <c r="L774" s="5"/>
    </row>
    <row r="775" spans="1:16" ht="15.75" hidden="1" x14ac:dyDescent="0.25">
      <c r="A775" s="48">
        <v>774</v>
      </c>
      <c r="B775" s="49" t="s">
        <v>1612</v>
      </c>
      <c r="C775" s="49" t="s">
        <v>1613</v>
      </c>
      <c r="D775" s="53" t="s">
        <v>47</v>
      </c>
      <c r="E775" s="53" t="s">
        <v>48</v>
      </c>
      <c r="F775" s="45">
        <f t="shared" si="102"/>
        <v>0</v>
      </c>
      <c r="G775" s="58">
        <f t="shared" si="101"/>
        <v>0</v>
      </c>
      <c r="H775" s="5"/>
      <c r="I775" s="5"/>
      <c r="J775" s="5"/>
      <c r="K775" s="5"/>
      <c r="L775" s="5"/>
    </row>
    <row r="776" spans="1:16" ht="15.75" hidden="1" x14ac:dyDescent="0.25">
      <c r="A776" s="48">
        <v>775</v>
      </c>
      <c r="B776" s="49" t="s">
        <v>1614</v>
      </c>
      <c r="C776" s="49" t="s">
        <v>1615</v>
      </c>
      <c r="D776" s="53" t="s">
        <v>47</v>
      </c>
      <c r="E776" s="53" t="s">
        <v>105</v>
      </c>
      <c r="F776" s="45">
        <f t="shared" si="102"/>
        <v>0</v>
      </c>
      <c r="G776" s="58">
        <f t="shared" si="101"/>
        <v>0</v>
      </c>
      <c r="H776" s="5"/>
      <c r="I776" s="5"/>
      <c r="J776" s="5"/>
      <c r="K776" s="5"/>
      <c r="L776" s="5"/>
    </row>
    <row r="777" spans="1:16" ht="15.75" hidden="1" x14ac:dyDescent="0.25">
      <c r="A777" s="48">
        <v>776</v>
      </c>
      <c r="B777" s="49" t="s">
        <v>1616</v>
      </c>
      <c r="C777" s="49" t="s">
        <v>1617</v>
      </c>
      <c r="D777" s="53" t="s">
        <v>47</v>
      </c>
      <c r="E777" s="53" t="s">
        <v>51</v>
      </c>
      <c r="F777" s="45">
        <f t="shared" si="102"/>
        <v>90</v>
      </c>
      <c r="G777" s="58">
        <f t="shared" si="101"/>
        <v>1.5</v>
      </c>
      <c r="H777" s="5"/>
      <c r="I777" s="5"/>
      <c r="J777" s="5"/>
      <c r="K777" s="5"/>
      <c r="L777" s="5"/>
      <c r="M777" s="3">
        <v>30</v>
      </c>
      <c r="O777" s="3">
        <v>30</v>
      </c>
      <c r="P777" s="3">
        <v>30</v>
      </c>
    </row>
    <row r="778" spans="1:16" ht="15.75" hidden="1" x14ac:dyDescent="0.25">
      <c r="A778" s="48">
        <v>777</v>
      </c>
      <c r="B778" s="49" t="s">
        <v>1618</v>
      </c>
      <c r="C778" s="49" t="s">
        <v>1619</v>
      </c>
      <c r="D778" s="53" t="s">
        <v>47</v>
      </c>
      <c r="E778" s="53" t="s">
        <v>51</v>
      </c>
      <c r="F778" s="45">
        <f t="shared" si="102"/>
        <v>0</v>
      </c>
      <c r="G778" s="58">
        <f t="shared" si="101"/>
        <v>0</v>
      </c>
      <c r="H778" s="5"/>
      <c r="I778" s="5"/>
      <c r="J778" s="5"/>
      <c r="K778" s="5"/>
      <c r="L778" s="5"/>
    </row>
    <row r="779" spans="1:16" ht="15.75" hidden="1" x14ac:dyDescent="0.25">
      <c r="A779" s="48">
        <v>778</v>
      </c>
      <c r="B779" s="49" t="s">
        <v>1620</v>
      </c>
      <c r="C779" s="49" t="s">
        <v>1621</v>
      </c>
      <c r="D779" s="53" t="s">
        <v>47</v>
      </c>
      <c r="E779" s="53" t="s">
        <v>56</v>
      </c>
      <c r="F779" s="45">
        <f t="shared" si="102"/>
        <v>60</v>
      </c>
      <c r="G779" s="58">
        <f t="shared" si="101"/>
        <v>1</v>
      </c>
      <c r="H779" s="5"/>
      <c r="I779" s="5"/>
      <c r="J779" s="5"/>
      <c r="K779" s="5"/>
      <c r="L779" s="5"/>
      <c r="O779" s="3">
        <v>30</v>
      </c>
      <c r="P779" s="3">
        <v>30</v>
      </c>
    </row>
    <row r="780" spans="1:16" ht="15.75" hidden="1" x14ac:dyDescent="0.25">
      <c r="A780" s="48">
        <v>779</v>
      </c>
      <c r="B780" s="49" t="s">
        <v>1622</v>
      </c>
      <c r="C780" s="49" t="s">
        <v>1623</v>
      </c>
      <c r="D780" s="53" t="s">
        <v>47</v>
      </c>
      <c r="E780" s="53" t="s">
        <v>105</v>
      </c>
      <c r="F780" s="45">
        <f t="shared" si="102"/>
        <v>0</v>
      </c>
      <c r="G780" s="58">
        <f t="shared" si="101"/>
        <v>0</v>
      </c>
      <c r="H780" s="5"/>
      <c r="I780" s="5"/>
      <c r="J780" s="5"/>
      <c r="K780" s="5"/>
      <c r="L780" s="5"/>
    </row>
    <row r="781" spans="1:16" ht="15.75" hidden="1" x14ac:dyDescent="0.25">
      <c r="A781" s="48">
        <v>780</v>
      </c>
      <c r="B781" s="49" t="s">
        <v>1624</v>
      </c>
      <c r="C781" s="49" t="s">
        <v>1625</v>
      </c>
      <c r="D781" s="53" t="s">
        <v>47</v>
      </c>
      <c r="E781" s="53" t="s">
        <v>48</v>
      </c>
      <c r="F781" s="45">
        <f t="shared" si="102"/>
        <v>60</v>
      </c>
      <c r="G781" s="58">
        <f t="shared" si="101"/>
        <v>1</v>
      </c>
      <c r="H781" s="5"/>
      <c r="I781" s="5"/>
      <c r="J781" s="5"/>
      <c r="K781" s="5"/>
      <c r="L781" s="5"/>
      <c r="O781" s="3">
        <v>30</v>
      </c>
      <c r="P781" s="3">
        <v>30</v>
      </c>
    </row>
    <row r="782" spans="1:16" ht="15.75" hidden="1" x14ac:dyDescent="0.25">
      <c r="A782" s="48">
        <v>781</v>
      </c>
      <c r="B782" s="49" t="s">
        <v>1626</v>
      </c>
      <c r="C782" s="49" t="s">
        <v>1627</v>
      </c>
      <c r="D782" s="53" t="s">
        <v>47</v>
      </c>
      <c r="E782" s="53" t="s">
        <v>76</v>
      </c>
      <c r="F782" s="45">
        <f t="shared" si="102"/>
        <v>0</v>
      </c>
      <c r="G782" s="58">
        <f t="shared" si="101"/>
        <v>0</v>
      </c>
      <c r="H782" s="5"/>
      <c r="I782" s="5"/>
      <c r="J782" s="5"/>
      <c r="K782" s="5"/>
      <c r="L782" s="5"/>
    </row>
    <row r="783" spans="1:16" ht="15.75" hidden="1" x14ac:dyDescent="0.25">
      <c r="A783" s="48">
        <v>782</v>
      </c>
      <c r="B783" s="49" t="s">
        <v>1628</v>
      </c>
      <c r="C783" s="49" t="s">
        <v>1629</v>
      </c>
      <c r="D783" s="53" t="s">
        <v>47</v>
      </c>
      <c r="E783" s="53" t="s">
        <v>61</v>
      </c>
      <c r="F783" s="45">
        <f t="shared" si="102"/>
        <v>0</v>
      </c>
      <c r="G783" s="58">
        <f t="shared" si="101"/>
        <v>0</v>
      </c>
      <c r="H783" s="5"/>
      <c r="I783" s="5"/>
      <c r="J783" s="5"/>
      <c r="K783" s="5"/>
      <c r="L783" s="5"/>
    </row>
    <row r="784" spans="1:16" ht="15.75" hidden="1" x14ac:dyDescent="0.25">
      <c r="A784" s="48">
        <v>783</v>
      </c>
      <c r="B784" s="49" t="s">
        <v>1630</v>
      </c>
      <c r="C784" s="49" t="s">
        <v>1631</v>
      </c>
      <c r="D784" s="53" t="s">
        <v>47</v>
      </c>
      <c r="E784" s="53" t="s">
        <v>116</v>
      </c>
      <c r="F784" s="45">
        <f t="shared" si="102"/>
        <v>0</v>
      </c>
      <c r="G784" s="58">
        <f t="shared" si="101"/>
        <v>0</v>
      </c>
      <c r="H784" s="5"/>
      <c r="I784" s="5"/>
      <c r="J784" s="5"/>
      <c r="K784" s="5"/>
      <c r="L784" s="5"/>
    </row>
    <row r="785" spans="1:16" ht="15.75" hidden="1" x14ac:dyDescent="0.25">
      <c r="A785" s="48">
        <v>784</v>
      </c>
      <c r="B785" s="49" t="s">
        <v>1632</v>
      </c>
      <c r="C785" s="49" t="s">
        <v>1633</v>
      </c>
      <c r="D785" s="53" t="s">
        <v>47</v>
      </c>
      <c r="E785" s="53" t="s">
        <v>51</v>
      </c>
      <c r="F785" s="45">
        <f t="shared" si="102"/>
        <v>0</v>
      </c>
      <c r="G785" s="58">
        <f t="shared" si="101"/>
        <v>0</v>
      </c>
      <c r="H785" s="5"/>
      <c r="I785" s="5"/>
      <c r="J785" s="5"/>
      <c r="K785" s="5"/>
      <c r="L785" s="5"/>
    </row>
    <row r="786" spans="1:16" ht="15.75" hidden="1" x14ac:dyDescent="0.25">
      <c r="A786" s="48">
        <v>785</v>
      </c>
      <c r="B786" s="49" t="s">
        <v>1634</v>
      </c>
      <c r="C786" s="49" t="s">
        <v>1635</v>
      </c>
      <c r="D786" s="53" t="s">
        <v>47</v>
      </c>
      <c r="E786" s="53" t="s">
        <v>51</v>
      </c>
      <c r="F786" s="45">
        <f t="shared" si="102"/>
        <v>197</v>
      </c>
      <c r="G786" s="58">
        <f t="shared" si="101"/>
        <v>3.2833333333333332</v>
      </c>
      <c r="H786" s="5">
        <v>90</v>
      </c>
      <c r="I786" s="5">
        <v>77</v>
      </c>
      <c r="J786" s="5"/>
      <c r="K786" s="5"/>
      <c r="L786" s="5"/>
      <c r="N786" s="3">
        <v>30</v>
      </c>
    </row>
    <row r="787" spans="1:16" ht="15.75" hidden="1" x14ac:dyDescent="0.25">
      <c r="A787" s="48">
        <v>786</v>
      </c>
      <c r="B787" s="49" t="s">
        <v>1636</v>
      </c>
      <c r="C787" s="49" t="s">
        <v>1637</v>
      </c>
      <c r="D787" s="53" t="s">
        <v>47</v>
      </c>
      <c r="E787" s="53" t="s">
        <v>105</v>
      </c>
      <c r="F787" s="45">
        <f t="shared" si="102"/>
        <v>0</v>
      </c>
      <c r="G787" s="58">
        <f t="shared" si="101"/>
        <v>0</v>
      </c>
      <c r="H787" s="5"/>
      <c r="I787" s="5"/>
      <c r="J787" s="5"/>
      <c r="K787" s="5"/>
      <c r="L787" s="5"/>
    </row>
    <row r="788" spans="1:16" ht="15.75" hidden="1" x14ac:dyDescent="0.25">
      <c r="A788" s="48">
        <v>787</v>
      </c>
      <c r="B788" s="49" t="s">
        <v>1638</v>
      </c>
      <c r="C788" s="49" t="s">
        <v>1639</v>
      </c>
      <c r="D788" s="53" t="s">
        <v>47</v>
      </c>
      <c r="E788" s="53" t="s">
        <v>105</v>
      </c>
      <c r="F788" s="45">
        <f t="shared" si="102"/>
        <v>0</v>
      </c>
      <c r="G788" s="58">
        <f t="shared" si="101"/>
        <v>0</v>
      </c>
      <c r="H788" s="5"/>
      <c r="I788" s="5"/>
      <c r="J788" s="5"/>
      <c r="K788" s="5"/>
      <c r="L788" s="5"/>
    </row>
    <row r="789" spans="1:16" ht="15.75" hidden="1" x14ac:dyDescent="0.25">
      <c r="A789" s="48">
        <v>788</v>
      </c>
      <c r="B789" s="49" t="s">
        <v>1640</v>
      </c>
      <c r="C789" s="49" t="s">
        <v>1641</v>
      </c>
      <c r="D789" s="53" t="s">
        <v>82</v>
      </c>
      <c r="E789" s="53" t="s">
        <v>140</v>
      </c>
      <c r="F789" s="45">
        <f t="shared" ref="F789:F830" si="103">SUM($H789:$K789)</f>
        <v>0</v>
      </c>
      <c r="G789" s="58">
        <f t="shared" si="101"/>
        <v>0</v>
      </c>
      <c r="H789" s="5"/>
      <c r="I789" s="5"/>
      <c r="J789" s="5"/>
      <c r="K789" s="5"/>
      <c r="L789" s="5"/>
    </row>
    <row r="790" spans="1:16" ht="15.75" hidden="1" x14ac:dyDescent="0.25">
      <c r="A790" s="48">
        <v>789</v>
      </c>
      <c r="B790" s="49" t="s">
        <v>1642</v>
      </c>
      <c r="C790" s="49" t="s">
        <v>1643</v>
      </c>
      <c r="D790" s="53" t="s">
        <v>82</v>
      </c>
      <c r="E790" s="53" t="s">
        <v>140</v>
      </c>
      <c r="F790" s="45">
        <f t="shared" si="103"/>
        <v>0</v>
      </c>
      <c r="G790" s="58">
        <f t="shared" si="101"/>
        <v>0</v>
      </c>
      <c r="H790" s="5"/>
      <c r="I790" s="5"/>
      <c r="J790" s="5"/>
      <c r="K790" s="5"/>
      <c r="L790" s="5"/>
    </row>
    <row r="791" spans="1:16" ht="15.75" hidden="1" x14ac:dyDescent="0.25">
      <c r="A791" s="48">
        <v>790</v>
      </c>
      <c r="B791" s="49" t="s">
        <v>1644</v>
      </c>
      <c r="C791" s="49" t="s">
        <v>1645</v>
      </c>
      <c r="D791" s="53" t="s">
        <v>64</v>
      </c>
      <c r="E791" s="53" t="s">
        <v>186</v>
      </c>
      <c r="F791" s="45">
        <f t="shared" si="103"/>
        <v>0</v>
      </c>
      <c r="G791" s="58">
        <f t="shared" si="101"/>
        <v>0</v>
      </c>
      <c r="H791" s="5"/>
      <c r="I791" s="5"/>
      <c r="J791" s="5"/>
      <c r="K791" s="5"/>
      <c r="L791" s="5"/>
    </row>
    <row r="792" spans="1:16" ht="15.75" hidden="1" x14ac:dyDescent="0.25">
      <c r="A792" s="48">
        <v>791</v>
      </c>
      <c r="B792" s="49" t="s">
        <v>1646</v>
      </c>
      <c r="C792" s="49" t="s">
        <v>1647</v>
      </c>
      <c r="D792" s="53" t="s">
        <v>82</v>
      </c>
      <c r="E792" s="53" t="s">
        <v>140</v>
      </c>
      <c r="F792" s="45">
        <f t="shared" si="103"/>
        <v>0</v>
      </c>
      <c r="G792" s="58">
        <f t="shared" si="101"/>
        <v>0</v>
      </c>
      <c r="H792" s="5"/>
      <c r="I792" s="5"/>
      <c r="J792" s="5"/>
      <c r="K792" s="5"/>
      <c r="L792" s="5"/>
    </row>
    <row r="793" spans="1:16" ht="15.75" hidden="1" x14ac:dyDescent="0.25">
      <c r="A793" s="48">
        <v>792</v>
      </c>
      <c r="B793" s="49" t="s">
        <v>1648</v>
      </c>
      <c r="C793" s="49" t="s">
        <v>1649</v>
      </c>
      <c r="D793" s="53" t="s">
        <v>47</v>
      </c>
      <c r="E793" s="53" t="s">
        <v>48</v>
      </c>
      <c r="F793" s="45">
        <f t="shared" ref="F793:F794" si="104">SUM($H793:$P793)</f>
        <v>150</v>
      </c>
      <c r="G793" s="58">
        <f t="shared" si="101"/>
        <v>2.5</v>
      </c>
      <c r="H793" s="5"/>
      <c r="I793" s="5"/>
      <c r="J793" s="5"/>
      <c r="K793" s="5">
        <v>90</v>
      </c>
      <c r="L793" s="5"/>
      <c r="O793" s="3">
        <v>30</v>
      </c>
      <c r="P793" s="3">
        <v>30</v>
      </c>
    </row>
    <row r="794" spans="1:16" ht="15.75" hidden="1" x14ac:dyDescent="0.25">
      <c r="A794" s="48">
        <v>793</v>
      </c>
      <c r="B794" s="49" t="s">
        <v>1650</v>
      </c>
      <c r="C794" s="49" t="s">
        <v>1651</v>
      </c>
      <c r="D794" s="53" t="s">
        <v>47</v>
      </c>
      <c r="E794" s="53" t="s">
        <v>105</v>
      </c>
      <c r="F794" s="45">
        <f t="shared" si="104"/>
        <v>120</v>
      </c>
      <c r="G794" s="58">
        <f t="shared" si="101"/>
        <v>2</v>
      </c>
      <c r="H794" s="5"/>
      <c r="I794" s="5"/>
      <c r="J794" s="5"/>
      <c r="K794" s="5"/>
      <c r="L794" s="5"/>
      <c r="M794" s="3">
        <v>30</v>
      </c>
      <c r="N794" s="3">
        <v>30</v>
      </c>
      <c r="O794" s="3">
        <v>30</v>
      </c>
      <c r="P794" s="3">
        <v>30</v>
      </c>
    </row>
    <row r="795" spans="1:16" ht="15.75" hidden="1" x14ac:dyDescent="0.25">
      <c r="A795" s="48">
        <v>794</v>
      </c>
      <c r="B795" s="49" t="s">
        <v>1652</v>
      </c>
      <c r="C795" s="49" t="s">
        <v>1653</v>
      </c>
      <c r="D795" s="53" t="s">
        <v>64</v>
      </c>
      <c r="E795" s="53" t="s">
        <v>65</v>
      </c>
      <c r="F795" s="45">
        <f t="shared" si="103"/>
        <v>0</v>
      </c>
      <c r="G795" s="58">
        <f t="shared" si="101"/>
        <v>0</v>
      </c>
      <c r="H795" s="5"/>
      <c r="I795" s="5"/>
      <c r="J795" s="5"/>
      <c r="K795" s="5"/>
      <c r="L795" s="5"/>
    </row>
    <row r="796" spans="1:16" ht="15.75" hidden="1" x14ac:dyDescent="0.25">
      <c r="A796" s="48">
        <v>795</v>
      </c>
      <c r="B796" s="49" t="s">
        <v>1654</v>
      </c>
      <c r="C796" s="49" t="s">
        <v>1655</v>
      </c>
      <c r="D796" s="53" t="s">
        <v>82</v>
      </c>
      <c r="E796" s="53" t="s">
        <v>140</v>
      </c>
      <c r="F796" s="45">
        <f t="shared" si="103"/>
        <v>0</v>
      </c>
      <c r="G796" s="58">
        <f t="shared" si="101"/>
        <v>0</v>
      </c>
      <c r="H796" s="5"/>
      <c r="I796" s="5"/>
      <c r="J796" s="5"/>
      <c r="K796" s="5"/>
      <c r="L796" s="5"/>
    </row>
    <row r="797" spans="1:16" ht="15.75" hidden="1" x14ac:dyDescent="0.25">
      <c r="A797" s="48">
        <v>796</v>
      </c>
      <c r="B797" s="49" t="s">
        <v>1656</v>
      </c>
      <c r="C797" s="49" t="s">
        <v>1657</v>
      </c>
      <c r="D797" s="53" t="s">
        <v>47</v>
      </c>
      <c r="E797" s="53" t="s">
        <v>76</v>
      </c>
      <c r="F797" s="45">
        <f t="shared" ref="F797:F803" si="105">SUM($H797:$P797)</f>
        <v>0</v>
      </c>
      <c r="G797" s="58">
        <f t="shared" si="101"/>
        <v>0</v>
      </c>
      <c r="H797" s="5"/>
      <c r="I797" s="5"/>
      <c r="J797" s="5"/>
      <c r="K797" s="5"/>
      <c r="L797" s="5"/>
    </row>
    <row r="798" spans="1:16" ht="15.75" hidden="1" x14ac:dyDescent="0.25">
      <c r="A798" s="48">
        <v>797</v>
      </c>
      <c r="B798" s="49" t="s">
        <v>1658</v>
      </c>
      <c r="C798" s="49" t="s">
        <v>1659</v>
      </c>
      <c r="D798" s="53" t="s">
        <v>47</v>
      </c>
      <c r="E798" s="53" t="s">
        <v>48</v>
      </c>
      <c r="F798" s="45">
        <f t="shared" si="105"/>
        <v>30</v>
      </c>
      <c r="G798" s="58">
        <f t="shared" si="101"/>
        <v>0.5</v>
      </c>
      <c r="H798" s="5"/>
      <c r="I798" s="5"/>
      <c r="J798" s="5"/>
      <c r="K798" s="5"/>
      <c r="L798" s="5"/>
      <c r="P798" s="3">
        <v>30</v>
      </c>
    </row>
    <row r="799" spans="1:16" ht="15.75" hidden="1" x14ac:dyDescent="0.25">
      <c r="A799" s="48">
        <v>798</v>
      </c>
      <c r="B799" s="49" t="s">
        <v>1660</v>
      </c>
      <c r="C799" s="49" t="s">
        <v>1661</v>
      </c>
      <c r="D799" s="53" t="s">
        <v>47</v>
      </c>
      <c r="E799" s="53" t="s">
        <v>51</v>
      </c>
      <c r="F799" s="45">
        <f t="shared" si="105"/>
        <v>0</v>
      </c>
      <c r="G799" s="58">
        <f t="shared" si="101"/>
        <v>0</v>
      </c>
      <c r="H799" s="5"/>
      <c r="I799" s="5"/>
      <c r="J799" s="5"/>
      <c r="K799" s="5"/>
      <c r="L799" s="5"/>
    </row>
    <row r="800" spans="1:16" ht="15.75" hidden="1" x14ac:dyDescent="0.25">
      <c r="A800" s="48">
        <v>799</v>
      </c>
      <c r="B800" s="49" t="s">
        <v>1662</v>
      </c>
      <c r="C800" s="49" t="s">
        <v>1663</v>
      </c>
      <c r="D800" s="53" t="s">
        <v>47</v>
      </c>
      <c r="E800" s="53" t="s">
        <v>1507</v>
      </c>
      <c r="F800" s="45">
        <f t="shared" si="105"/>
        <v>90</v>
      </c>
      <c r="G800" s="58">
        <f t="shared" si="101"/>
        <v>1.5</v>
      </c>
      <c r="H800" s="5"/>
      <c r="I800" s="5"/>
      <c r="J800" s="5"/>
      <c r="K800" s="5">
        <v>90</v>
      </c>
      <c r="L800" s="5"/>
    </row>
    <row r="801" spans="1:16" ht="15.75" hidden="1" x14ac:dyDescent="0.25">
      <c r="A801" s="48">
        <v>800</v>
      </c>
      <c r="B801" s="49" t="s">
        <v>1664</v>
      </c>
      <c r="C801" s="49" t="s">
        <v>1665</v>
      </c>
      <c r="D801" s="53" t="s">
        <v>47</v>
      </c>
      <c r="E801" s="53" t="s">
        <v>48</v>
      </c>
      <c r="F801" s="45">
        <f t="shared" si="105"/>
        <v>30</v>
      </c>
      <c r="G801" s="58">
        <f t="shared" si="101"/>
        <v>0.5</v>
      </c>
      <c r="H801" s="5"/>
      <c r="I801" s="5"/>
      <c r="J801" s="5"/>
      <c r="K801" s="5"/>
      <c r="L801" s="5"/>
      <c r="N801" s="3">
        <v>30</v>
      </c>
    </row>
    <row r="802" spans="1:16" ht="15.75" hidden="1" x14ac:dyDescent="0.25">
      <c r="A802" s="48">
        <v>801</v>
      </c>
      <c r="B802" s="49" t="s">
        <v>1666</v>
      </c>
      <c r="C802" s="49" t="s">
        <v>1667</v>
      </c>
      <c r="D802" s="53" t="s">
        <v>47</v>
      </c>
      <c r="E802" s="53" t="s">
        <v>116</v>
      </c>
      <c r="F802" s="45">
        <f t="shared" si="105"/>
        <v>0</v>
      </c>
      <c r="G802" s="58">
        <f t="shared" si="101"/>
        <v>0</v>
      </c>
      <c r="H802" s="5"/>
      <c r="I802" s="5"/>
      <c r="J802" s="5"/>
      <c r="K802" s="5"/>
      <c r="L802" s="5"/>
    </row>
    <row r="803" spans="1:16" ht="15.75" hidden="1" x14ac:dyDescent="0.25">
      <c r="A803" s="48">
        <v>802</v>
      </c>
      <c r="B803" s="49" t="s">
        <v>1668</v>
      </c>
      <c r="C803" s="49" t="s">
        <v>1669</v>
      </c>
      <c r="D803" s="53" t="s">
        <v>47</v>
      </c>
      <c r="E803" s="53" t="s">
        <v>76</v>
      </c>
      <c r="F803" s="45">
        <f t="shared" si="105"/>
        <v>375</v>
      </c>
      <c r="G803" s="58">
        <f t="shared" si="101"/>
        <v>6.25</v>
      </c>
      <c r="H803" s="5">
        <v>90</v>
      </c>
      <c r="I803" s="5">
        <v>45</v>
      </c>
      <c r="J803" s="5">
        <v>60</v>
      </c>
      <c r="K803" s="5">
        <v>90</v>
      </c>
      <c r="L803" s="5"/>
      <c r="N803" s="3">
        <v>30</v>
      </c>
      <c r="O803" s="3">
        <v>30</v>
      </c>
      <c r="P803" s="3">
        <v>30</v>
      </c>
    </row>
    <row r="804" spans="1:16" ht="15.75" hidden="1" x14ac:dyDescent="0.25">
      <c r="A804" s="48">
        <v>803</v>
      </c>
      <c r="B804" s="49" t="s">
        <v>1670</v>
      </c>
      <c r="C804" s="49" t="s">
        <v>1671</v>
      </c>
      <c r="D804" s="53" t="s">
        <v>123</v>
      </c>
      <c r="E804" s="53" t="s">
        <v>123</v>
      </c>
      <c r="F804" s="45">
        <f t="shared" si="103"/>
        <v>0</v>
      </c>
      <c r="G804" s="57"/>
      <c r="H804" s="5"/>
      <c r="I804" s="5"/>
      <c r="J804" s="5"/>
      <c r="K804" s="5"/>
      <c r="L804" s="5"/>
      <c r="M804"/>
      <c r="N804"/>
      <c r="O804"/>
      <c r="P804"/>
    </row>
    <row r="805" spans="1:16" ht="15.75" hidden="1" x14ac:dyDescent="0.25">
      <c r="A805" s="48">
        <v>804</v>
      </c>
      <c r="B805" s="49" t="s">
        <v>1672</v>
      </c>
      <c r="C805" s="49" t="s">
        <v>1673</v>
      </c>
      <c r="D805" s="53" t="s">
        <v>47</v>
      </c>
      <c r="E805" s="53" t="s">
        <v>48</v>
      </c>
      <c r="F805" s="45">
        <f t="shared" ref="F805:F816" si="106">SUM($H805:$P805)</f>
        <v>0</v>
      </c>
      <c r="G805" s="58">
        <f t="shared" ref="G805:G868" si="107">F805/60</f>
        <v>0</v>
      </c>
      <c r="H805" s="5"/>
      <c r="I805" s="5"/>
      <c r="J805" s="5"/>
      <c r="K805" s="5"/>
      <c r="L805" s="5"/>
    </row>
    <row r="806" spans="1:16" ht="15.75" hidden="1" x14ac:dyDescent="0.25">
      <c r="A806" s="48">
        <v>805</v>
      </c>
      <c r="B806" s="49" t="s">
        <v>1674</v>
      </c>
      <c r="C806" s="49" t="s">
        <v>1675</v>
      </c>
      <c r="D806" s="53" t="s">
        <v>47</v>
      </c>
      <c r="E806" s="53" t="s">
        <v>48</v>
      </c>
      <c r="F806" s="45">
        <f t="shared" si="106"/>
        <v>339</v>
      </c>
      <c r="G806" s="58">
        <f t="shared" si="107"/>
        <v>5.65</v>
      </c>
      <c r="H806" s="5">
        <v>90</v>
      </c>
      <c r="I806" s="5">
        <v>69</v>
      </c>
      <c r="J806" s="5"/>
      <c r="K806" s="5">
        <v>90</v>
      </c>
      <c r="L806" s="5"/>
      <c r="N806" s="3">
        <v>30</v>
      </c>
      <c r="O806" s="3">
        <v>30</v>
      </c>
      <c r="P806" s="3">
        <v>30</v>
      </c>
    </row>
    <row r="807" spans="1:16" ht="15.75" hidden="1" x14ac:dyDescent="0.25">
      <c r="A807" s="48">
        <v>806</v>
      </c>
      <c r="B807" s="49" t="s">
        <v>1676</v>
      </c>
      <c r="C807" s="49" t="s">
        <v>1677</v>
      </c>
      <c r="D807" s="53" t="s">
        <v>47</v>
      </c>
      <c r="E807" s="53" t="s">
        <v>76</v>
      </c>
      <c r="F807" s="45">
        <f t="shared" si="106"/>
        <v>169</v>
      </c>
      <c r="G807" s="58">
        <f t="shared" si="107"/>
        <v>2.8166666666666669</v>
      </c>
      <c r="H807" s="5"/>
      <c r="I807" s="5">
        <v>79</v>
      </c>
      <c r="J807" s="5"/>
      <c r="K807" s="5"/>
      <c r="L807" s="5"/>
      <c r="N807" s="3">
        <v>30</v>
      </c>
      <c r="O807" s="3">
        <v>30</v>
      </c>
      <c r="P807" s="3">
        <v>30</v>
      </c>
    </row>
    <row r="808" spans="1:16" ht="15.75" hidden="1" x14ac:dyDescent="0.25">
      <c r="A808" s="48">
        <v>807</v>
      </c>
      <c r="B808" s="49" t="s">
        <v>1678</v>
      </c>
      <c r="C808" s="49" t="s">
        <v>1679</v>
      </c>
      <c r="D808" s="53" t="s">
        <v>47</v>
      </c>
      <c r="E808" s="53" t="s">
        <v>76</v>
      </c>
      <c r="F808" s="45">
        <f t="shared" si="106"/>
        <v>150</v>
      </c>
      <c r="G808" s="58">
        <f t="shared" si="107"/>
        <v>2.5</v>
      </c>
      <c r="H808" s="5"/>
      <c r="I808" s="5"/>
      <c r="J808" s="5"/>
      <c r="K808" s="5">
        <v>90</v>
      </c>
      <c r="L808" s="5"/>
      <c r="M808" s="3">
        <v>30</v>
      </c>
      <c r="O808" s="3">
        <v>30</v>
      </c>
    </row>
    <row r="809" spans="1:16" ht="15.75" hidden="1" x14ac:dyDescent="0.25">
      <c r="A809" s="48">
        <v>808</v>
      </c>
      <c r="B809" s="49" t="s">
        <v>1680</v>
      </c>
      <c r="C809" s="49" t="s">
        <v>1681</v>
      </c>
      <c r="D809" s="53" t="s">
        <v>47</v>
      </c>
      <c r="E809" s="53" t="s">
        <v>105</v>
      </c>
      <c r="F809" s="45">
        <f t="shared" si="106"/>
        <v>90</v>
      </c>
      <c r="G809" s="58">
        <f t="shared" si="107"/>
        <v>1.5</v>
      </c>
      <c r="H809" s="5">
        <v>90</v>
      </c>
      <c r="I809" s="5"/>
      <c r="J809" s="5"/>
      <c r="K809" s="5"/>
      <c r="L809" s="5"/>
    </row>
    <row r="810" spans="1:16" ht="15.75" hidden="1" x14ac:dyDescent="0.25">
      <c r="A810" s="48">
        <v>809</v>
      </c>
      <c r="B810" s="49" t="s">
        <v>1682</v>
      </c>
      <c r="C810" s="49" t="s">
        <v>1683</v>
      </c>
      <c r="D810" s="53" t="s">
        <v>47</v>
      </c>
      <c r="E810" s="53" t="s">
        <v>56</v>
      </c>
      <c r="F810" s="45">
        <f t="shared" si="106"/>
        <v>0</v>
      </c>
      <c r="G810" s="58">
        <f t="shared" si="107"/>
        <v>0</v>
      </c>
      <c r="H810" s="5"/>
      <c r="I810" s="5"/>
      <c r="J810" s="5"/>
      <c r="K810" s="5"/>
      <c r="L810" s="5"/>
    </row>
    <row r="811" spans="1:16" ht="15.75" hidden="1" x14ac:dyDescent="0.25">
      <c r="A811" s="48">
        <v>810</v>
      </c>
      <c r="B811" s="49" t="s">
        <v>1684</v>
      </c>
      <c r="C811" s="49" t="s">
        <v>1685</v>
      </c>
      <c r="D811" s="53" t="s">
        <v>47</v>
      </c>
      <c r="E811" s="53" t="s">
        <v>105</v>
      </c>
      <c r="F811" s="45">
        <f t="shared" si="106"/>
        <v>0</v>
      </c>
      <c r="G811" s="58">
        <f t="shared" si="107"/>
        <v>0</v>
      </c>
      <c r="H811" s="5"/>
      <c r="I811" s="5"/>
      <c r="J811" s="5"/>
      <c r="K811" s="5"/>
      <c r="L811" s="5"/>
    </row>
    <row r="812" spans="1:16" ht="15.75" hidden="1" x14ac:dyDescent="0.25">
      <c r="A812" s="48">
        <v>811</v>
      </c>
      <c r="B812" s="49" t="s">
        <v>1686</v>
      </c>
      <c r="C812" s="49" t="s">
        <v>1687</v>
      </c>
      <c r="D812" s="53" t="s">
        <v>47</v>
      </c>
      <c r="E812" s="53" t="s">
        <v>56</v>
      </c>
      <c r="F812" s="45">
        <f t="shared" si="106"/>
        <v>30</v>
      </c>
      <c r="G812" s="58">
        <f t="shared" si="107"/>
        <v>0.5</v>
      </c>
      <c r="H812" s="5"/>
      <c r="I812" s="5"/>
      <c r="J812" s="5"/>
      <c r="K812" s="5"/>
      <c r="L812" s="5"/>
      <c r="N812" s="3">
        <v>30</v>
      </c>
    </row>
    <row r="813" spans="1:16" ht="15.75" hidden="1" x14ac:dyDescent="0.25">
      <c r="A813" s="48">
        <v>812</v>
      </c>
      <c r="B813" s="49" t="s">
        <v>1688</v>
      </c>
      <c r="C813" s="49" t="s">
        <v>1689</v>
      </c>
      <c r="D813" s="53" t="s">
        <v>47</v>
      </c>
      <c r="E813" s="53" t="s">
        <v>48</v>
      </c>
      <c r="F813" s="45">
        <f t="shared" si="106"/>
        <v>30</v>
      </c>
      <c r="G813" s="58">
        <f t="shared" si="107"/>
        <v>0.5</v>
      </c>
      <c r="H813" s="5"/>
      <c r="I813" s="5"/>
      <c r="J813" s="5"/>
      <c r="K813" s="5"/>
      <c r="L813" s="5"/>
      <c r="P813" s="3">
        <v>30</v>
      </c>
    </row>
    <row r="814" spans="1:16" ht="15.75" hidden="1" x14ac:dyDescent="0.25">
      <c r="A814" s="48">
        <v>813</v>
      </c>
      <c r="B814" s="49" t="s">
        <v>1690</v>
      </c>
      <c r="C814" s="49" t="s">
        <v>1691</v>
      </c>
      <c r="D814" s="53" t="s">
        <v>47</v>
      </c>
      <c r="E814" s="53" t="s">
        <v>86</v>
      </c>
      <c r="F814" s="45">
        <f t="shared" si="106"/>
        <v>0</v>
      </c>
      <c r="G814" s="58">
        <f t="shared" si="107"/>
        <v>0</v>
      </c>
      <c r="H814" s="5"/>
      <c r="I814" s="5"/>
      <c r="J814" s="5"/>
      <c r="K814" s="5"/>
      <c r="L814" s="5"/>
    </row>
    <row r="815" spans="1:16" ht="15.75" hidden="1" x14ac:dyDescent="0.25">
      <c r="A815" s="48">
        <v>814</v>
      </c>
      <c r="B815" s="49" t="s">
        <v>1692</v>
      </c>
      <c r="C815" s="49" t="s">
        <v>1693</v>
      </c>
      <c r="D815" s="53" t="s">
        <v>47</v>
      </c>
      <c r="E815" s="53" t="s">
        <v>48</v>
      </c>
      <c r="F815" s="45">
        <f t="shared" si="106"/>
        <v>199</v>
      </c>
      <c r="G815" s="58">
        <f t="shared" si="107"/>
        <v>3.3166666666666669</v>
      </c>
      <c r="H815" s="5"/>
      <c r="I815" s="5">
        <v>79</v>
      </c>
      <c r="J815" s="5"/>
      <c r="K815" s="5"/>
      <c r="L815" s="5"/>
      <c r="M815" s="3">
        <v>30</v>
      </c>
      <c r="N815" s="3">
        <v>30</v>
      </c>
      <c r="O815" s="3">
        <v>30</v>
      </c>
      <c r="P815" s="3">
        <v>30</v>
      </c>
    </row>
    <row r="816" spans="1:16" ht="15.75" hidden="1" x14ac:dyDescent="0.25">
      <c r="A816" s="48">
        <v>815</v>
      </c>
      <c r="B816" s="49" t="s">
        <v>1694</v>
      </c>
      <c r="C816" s="49" t="s">
        <v>1695</v>
      </c>
      <c r="D816" s="53" t="s">
        <v>47</v>
      </c>
      <c r="E816" s="53" t="s">
        <v>105</v>
      </c>
      <c r="F816" s="45">
        <f t="shared" si="106"/>
        <v>0</v>
      </c>
      <c r="G816" s="58">
        <f t="shared" si="107"/>
        <v>0</v>
      </c>
      <c r="H816" s="5"/>
      <c r="I816" s="5"/>
      <c r="J816" s="5"/>
      <c r="K816" s="5"/>
      <c r="L816" s="5"/>
    </row>
    <row r="817" spans="1:16" ht="15.75" hidden="1" x14ac:dyDescent="0.25">
      <c r="A817" s="48">
        <v>816</v>
      </c>
      <c r="B817" s="49" t="s">
        <v>1696</v>
      </c>
      <c r="C817" s="49" t="s">
        <v>1697</v>
      </c>
      <c r="D817" s="53" t="s">
        <v>64</v>
      </c>
      <c r="E817" s="53" t="s">
        <v>186</v>
      </c>
      <c r="F817" s="45">
        <f t="shared" si="103"/>
        <v>0</v>
      </c>
      <c r="G817" s="58">
        <f t="shared" si="107"/>
        <v>0</v>
      </c>
      <c r="H817" s="5"/>
      <c r="I817" s="5"/>
      <c r="J817" s="5"/>
      <c r="K817" s="5"/>
      <c r="L817" s="5"/>
    </row>
    <row r="818" spans="1:16" ht="15.75" hidden="1" x14ac:dyDescent="0.25">
      <c r="A818" s="48">
        <v>817</v>
      </c>
      <c r="B818" s="49" t="s">
        <v>1698</v>
      </c>
      <c r="C818" s="49" t="s">
        <v>1699</v>
      </c>
      <c r="D818" s="53" t="s">
        <v>47</v>
      </c>
      <c r="E818" s="53" t="s">
        <v>105</v>
      </c>
      <c r="F818" s="45">
        <f t="shared" ref="F818:F822" si="108">SUM($H818:$P818)</f>
        <v>0</v>
      </c>
      <c r="G818" s="58">
        <f t="shared" si="107"/>
        <v>0</v>
      </c>
      <c r="H818" s="5"/>
      <c r="I818" s="5"/>
      <c r="J818" s="5"/>
      <c r="K818" s="5"/>
      <c r="L818" s="5"/>
    </row>
    <row r="819" spans="1:16" ht="15.75" hidden="1" x14ac:dyDescent="0.25">
      <c r="A819" s="48">
        <v>818</v>
      </c>
      <c r="B819" s="49" t="s">
        <v>1700</v>
      </c>
      <c r="C819" s="49" t="s">
        <v>1701</v>
      </c>
      <c r="D819" s="53" t="s">
        <v>47</v>
      </c>
      <c r="E819" s="53" t="s">
        <v>48</v>
      </c>
      <c r="F819" s="45">
        <f t="shared" si="108"/>
        <v>180</v>
      </c>
      <c r="G819" s="58">
        <f t="shared" si="107"/>
        <v>3</v>
      </c>
      <c r="H819" s="5">
        <v>90</v>
      </c>
      <c r="I819" s="5"/>
      <c r="J819" s="5"/>
      <c r="K819" s="5"/>
      <c r="L819" s="5"/>
      <c r="N819" s="3">
        <v>30</v>
      </c>
      <c r="O819" s="3">
        <v>30</v>
      </c>
      <c r="P819" s="3">
        <v>30</v>
      </c>
    </row>
    <row r="820" spans="1:16" ht="15.75" hidden="1" x14ac:dyDescent="0.25">
      <c r="A820" s="48">
        <v>819</v>
      </c>
      <c r="B820" s="49" t="s">
        <v>1702</v>
      </c>
      <c r="C820" s="49" t="s">
        <v>1703</v>
      </c>
      <c r="D820" s="53" t="s">
        <v>47</v>
      </c>
      <c r="E820" s="53" t="s">
        <v>48</v>
      </c>
      <c r="F820" s="45">
        <f t="shared" si="108"/>
        <v>180</v>
      </c>
      <c r="G820" s="58">
        <f t="shared" si="107"/>
        <v>3</v>
      </c>
      <c r="H820" s="5"/>
      <c r="I820" s="5"/>
      <c r="J820" s="5"/>
      <c r="K820" s="5">
        <v>90</v>
      </c>
      <c r="L820" s="5"/>
      <c r="M820" s="3">
        <v>30</v>
      </c>
      <c r="O820" s="3">
        <v>30</v>
      </c>
      <c r="P820" s="3">
        <v>30</v>
      </c>
    </row>
    <row r="821" spans="1:16" ht="15.75" hidden="1" x14ac:dyDescent="0.25">
      <c r="A821" s="48">
        <v>820</v>
      </c>
      <c r="B821" s="49" t="s">
        <v>1704</v>
      </c>
      <c r="C821" s="49" t="s">
        <v>1705</v>
      </c>
      <c r="D821" s="53" t="s">
        <v>47</v>
      </c>
      <c r="E821" s="53" t="s">
        <v>116</v>
      </c>
      <c r="F821" s="45">
        <f t="shared" si="108"/>
        <v>30</v>
      </c>
      <c r="G821" s="58">
        <f t="shared" si="107"/>
        <v>0.5</v>
      </c>
      <c r="H821" s="5"/>
      <c r="I821" s="5"/>
      <c r="J821" s="5"/>
      <c r="K821" s="5"/>
      <c r="L821" s="5"/>
      <c r="P821" s="3">
        <v>30</v>
      </c>
    </row>
    <row r="822" spans="1:16" ht="15.75" hidden="1" x14ac:dyDescent="0.25">
      <c r="A822" s="48">
        <v>821</v>
      </c>
      <c r="B822" s="49" t="s">
        <v>1706</v>
      </c>
      <c r="C822" s="49" t="s">
        <v>1707</v>
      </c>
      <c r="D822" s="53" t="s">
        <v>47</v>
      </c>
      <c r="E822" s="53" t="s">
        <v>51</v>
      </c>
      <c r="F822" s="45">
        <f t="shared" si="108"/>
        <v>0</v>
      </c>
      <c r="G822" s="58">
        <f t="shared" si="107"/>
        <v>0</v>
      </c>
      <c r="H822" s="5"/>
      <c r="I822" s="5"/>
      <c r="J822" s="5"/>
      <c r="K822" s="5"/>
      <c r="L822" s="5"/>
    </row>
    <row r="823" spans="1:16" ht="15.75" hidden="1" x14ac:dyDescent="0.25">
      <c r="A823" s="48">
        <v>822</v>
      </c>
      <c r="B823" s="49" t="s">
        <v>1708</v>
      </c>
      <c r="C823" s="49" t="s">
        <v>1709</v>
      </c>
      <c r="D823" s="53" t="s">
        <v>64</v>
      </c>
      <c r="E823" s="53" t="s">
        <v>65</v>
      </c>
      <c r="F823" s="45">
        <f t="shared" si="103"/>
        <v>0</v>
      </c>
      <c r="G823" s="58">
        <f t="shared" si="107"/>
        <v>0</v>
      </c>
      <c r="H823" s="5"/>
      <c r="I823" s="5"/>
      <c r="J823" s="5"/>
      <c r="K823" s="5"/>
      <c r="L823" s="5"/>
    </row>
    <row r="824" spans="1:16" ht="15.75" hidden="1" x14ac:dyDescent="0.25">
      <c r="A824" s="48">
        <v>823</v>
      </c>
      <c r="B824" s="49" t="s">
        <v>1710</v>
      </c>
      <c r="C824" s="49" t="s">
        <v>1711</v>
      </c>
      <c r="D824" s="53" t="s">
        <v>47</v>
      </c>
      <c r="E824" s="53" t="s">
        <v>48</v>
      </c>
      <c r="F824" s="45">
        <f t="shared" ref="F824:F825" si="109">SUM($H824:$P824)</f>
        <v>30</v>
      </c>
      <c r="G824" s="58">
        <f t="shared" si="107"/>
        <v>0.5</v>
      </c>
      <c r="H824" s="5"/>
      <c r="I824" s="5"/>
      <c r="J824" s="5"/>
      <c r="K824" s="5"/>
      <c r="L824" s="5"/>
      <c r="O824" s="3">
        <v>30</v>
      </c>
    </row>
    <row r="825" spans="1:16" ht="15.75" hidden="1" x14ac:dyDescent="0.25">
      <c r="A825" s="48">
        <v>824</v>
      </c>
      <c r="B825" s="49" t="s">
        <v>1712</v>
      </c>
      <c r="C825" s="49" t="s">
        <v>1713</v>
      </c>
      <c r="D825" s="53" t="s">
        <v>47</v>
      </c>
      <c r="E825" s="53" t="s">
        <v>76</v>
      </c>
      <c r="F825" s="45">
        <f t="shared" si="109"/>
        <v>90</v>
      </c>
      <c r="G825" s="58">
        <f t="shared" si="107"/>
        <v>1.5</v>
      </c>
      <c r="H825" s="5"/>
      <c r="I825" s="5"/>
      <c r="J825" s="5"/>
      <c r="K825" s="5"/>
      <c r="L825" s="5"/>
      <c r="N825" s="3">
        <v>30</v>
      </c>
      <c r="O825" s="3">
        <v>30</v>
      </c>
      <c r="P825" s="3">
        <v>30</v>
      </c>
    </row>
    <row r="826" spans="1:16" ht="15.75" hidden="1" x14ac:dyDescent="0.25">
      <c r="A826" s="48">
        <v>825</v>
      </c>
      <c r="B826" s="49" t="s">
        <v>1714</v>
      </c>
      <c r="C826" s="49" t="s">
        <v>1715</v>
      </c>
      <c r="D826" s="53" t="s">
        <v>64</v>
      </c>
      <c r="E826" s="53" t="s">
        <v>186</v>
      </c>
      <c r="F826" s="45">
        <f t="shared" si="103"/>
        <v>0</v>
      </c>
      <c r="G826" s="58">
        <f t="shared" si="107"/>
        <v>0</v>
      </c>
      <c r="H826" s="5"/>
      <c r="I826" s="5"/>
      <c r="J826" s="5"/>
      <c r="K826" s="5"/>
      <c r="L826" s="5"/>
    </row>
    <row r="827" spans="1:16" ht="15.75" hidden="1" x14ac:dyDescent="0.25">
      <c r="A827" s="48">
        <v>826</v>
      </c>
      <c r="B827" s="49" t="s">
        <v>1716</v>
      </c>
      <c r="C827" s="49" t="s">
        <v>1717</v>
      </c>
      <c r="D827" s="53" t="s">
        <v>47</v>
      </c>
      <c r="E827" s="53" t="s">
        <v>56</v>
      </c>
      <c r="F827" s="45">
        <f t="shared" ref="F827:F829" si="110">SUM($H827:$P827)</f>
        <v>90</v>
      </c>
      <c r="G827" s="58">
        <f t="shared" si="107"/>
        <v>1.5</v>
      </c>
      <c r="H827" s="5">
        <v>90</v>
      </c>
      <c r="I827" s="5"/>
      <c r="J827" s="5"/>
      <c r="K827" s="5"/>
      <c r="L827" s="5"/>
    </row>
    <row r="828" spans="1:16" ht="15.75" hidden="1" x14ac:dyDescent="0.25">
      <c r="A828" s="48">
        <v>827</v>
      </c>
      <c r="B828" s="49" t="s">
        <v>1718</v>
      </c>
      <c r="C828" s="49" t="s">
        <v>1719</v>
      </c>
      <c r="D828" s="53" t="s">
        <v>47</v>
      </c>
      <c r="E828" s="53" t="s">
        <v>79</v>
      </c>
      <c r="F828" s="45">
        <f t="shared" si="110"/>
        <v>0</v>
      </c>
      <c r="G828" s="58">
        <f t="shared" si="107"/>
        <v>0</v>
      </c>
      <c r="H828" s="5"/>
      <c r="I828" s="5"/>
      <c r="J828" s="5"/>
      <c r="K828" s="5"/>
      <c r="L828" s="5"/>
    </row>
    <row r="829" spans="1:16" ht="15.75" hidden="1" x14ac:dyDescent="0.25">
      <c r="A829" s="48">
        <v>828</v>
      </c>
      <c r="B829" s="49" t="s">
        <v>1720</v>
      </c>
      <c r="C829" s="49" t="s">
        <v>1721</v>
      </c>
      <c r="D829" s="53" t="s">
        <v>47</v>
      </c>
      <c r="E829" s="53" t="s">
        <v>48</v>
      </c>
      <c r="F829" s="45">
        <f t="shared" si="110"/>
        <v>60</v>
      </c>
      <c r="G829" s="58">
        <f t="shared" si="107"/>
        <v>1</v>
      </c>
      <c r="H829" s="5"/>
      <c r="I829" s="5"/>
      <c r="J829" s="5"/>
      <c r="K829" s="5"/>
      <c r="L829" s="5">
        <v>60</v>
      </c>
    </row>
    <row r="830" spans="1:16" ht="15.75" hidden="1" x14ac:dyDescent="0.25">
      <c r="A830" s="48">
        <v>829</v>
      </c>
      <c r="B830" s="49" t="s">
        <v>1722</v>
      </c>
      <c r="C830" s="49" t="s">
        <v>1723</v>
      </c>
      <c r="D830" s="53" t="s">
        <v>64</v>
      </c>
      <c r="E830" s="53" t="s">
        <v>186</v>
      </c>
      <c r="F830" s="45">
        <f t="shared" si="103"/>
        <v>0</v>
      </c>
      <c r="G830" s="58">
        <f t="shared" si="107"/>
        <v>0</v>
      </c>
      <c r="H830" s="5"/>
      <c r="I830" s="5"/>
      <c r="J830" s="5"/>
      <c r="K830" s="5"/>
      <c r="L830" s="5"/>
    </row>
    <row r="831" spans="1:16" ht="15.75" hidden="1" x14ac:dyDescent="0.25">
      <c r="A831" s="48">
        <v>830</v>
      </c>
      <c r="B831" s="49" t="s">
        <v>1724</v>
      </c>
      <c r="C831" s="49" t="s">
        <v>1725</v>
      </c>
      <c r="D831" s="53" t="s">
        <v>47</v>
      </c>
      <c r="E831" s="53" t="s">
        <v>48</v>
      </c>
      <c r="F831" s="45">
        <f t="shared" ref="F831:F841" si="111">SUM($H831:$P831)</f>
        <v>90</v>
      </c>
      <c r="G831" s="58">
        <f t="shared" si="107"/>
        <v>1.5</v>
      </c>
      <c r="H831" s="5"/>
      <c r="I831" s="5"/>
      <c r="J831" s="5"/>
      <c r="K831" s="5"/>
      <c r="L831" s="5"/>
      <c r="N831" s="3">
        <v>30</v>
      </c>
      <c r="O831" s="3">
        <v>30</v>
      </c>
      <c r="P831" s="3">
        <v>30</v>
      </c>
    </row>
    <row r="832" spans="1:16" ht="15.75" hidden="1" x14ac:dyDescent="0.25">
      <c r="A832" s="48">
        <v>831</v>
      </c>
      <c r="B832" s="49" t="s">
        <v>1726</v>
      </c>
      <c r="C832" s="49" t="s">
        <v>1727</v>
      </c>
      <c r="D832" s="53" t="s">
        <v>47</v>
      </c>
      <c r="E832" s="53" t="s">
        <v>61</v>
      </c>
      <c r="F832" s="45">
        <f t="shared" si="111"/>
        <v>0</v>
      </c>
      <c r="G832" s="58">
        <f t="shared" si="107"/>
        <v>0</v>
      </c>
      <c r="H832" s="5"/>
      <c r="I832" s="5"/>
      <c r="J832" s="5"/>
      <c r="K832" s="5"/>
      <c r="L832" s="5"/>
    </row>
    <row r="833" spans="1:16" ht="15.75" hidden="1" x14ac:dyDescent="0.25">
      <c r="A833" s="48">
        <v>832</v>
      </c>
      <c r="B833" s="49" t="s">
        <v>1728</v>
      </c>
      <c r="C833" s="49" t="s">
        <v>1729</v>
      </c>
      <c r="D833" s="53" t="s">
        <v>47</v>
      </c>
      <c r="E833" s="53" t="s">
        <v>48</v>
      </c>
      <c r="F833" s="45">
        <f t="shared" si="111"/>
        <v>60</v>
      </c>
      <c r="G833" s="58">
        <f t="shared" si="107"/>
        <v>1</v>
      </c>
      <c r="H833" s="5"/>
      <c r="I833" s="5"/>
      <c r="J833" s="5"/>
      <c r="K833" s="5"/>
      <c r="L833" s="5"/>
      <c r="N833" s="3">
        <v>30</v>
      </c>
      <c r="O833" s="3">
        <v>30</v>
      </c>
    </row>
    <row r="834" spans="1:16" ht="15.75" hidden="1" x14ac:dyDescent="0.25">
      <c r="A834" s="48">
        <v>833</v>
      </c>
      <c r="B834" s="49" t="s">
        <v>1730</v>
      </c>
      <c r="C834" s="49" t="s">
        <v>1731</v>
      </c>
      <c r="D834" s="53" t="s">
        <v>47</v>
      </c>
      <c r="E834" s="53" t="s">
        <v>48</v>
      </c>
      <c r="F834" s="45">
        <f t="shared" si="111"/>
        <v>0</v>
      </c>
      <c r="G834" s="58">
        <f t="shared" si="107"/>
        <v>0</v>
      </c>
      <c r="H834" s="5"/>
      <c r="I834" s="5"/>
      <c r="J834" s="5"/>
      <c r="K834" s="5"/>
      <c r="L834" s="5"/>
    </row>
    <row r="835" spans="1:16" ht="15.75" hidden="1" x14ac:dyDescent="0.25">
      <c r="A835" s="48">
        <v>834</v>
      </c>
      <c r="B835" s="49" t="s">
        <v>1732</v>
      </c>
      <c r="C835" s="49" t="s">
        <v>1733</v>
      </c>
      <c r="D835" s="53" t="s">
        <v>47</v>
      </c>
      <c r="E835" s="53" t="s">
        <v>48</v>
      </c>
      <c r="F835" s="45">
        <f t="shared" si="111"/>
        <v>0</v>
      </c>
      <c r="G835" s="58">
        <f t="shared" si="107"/>
        <v>0</v>
      </c>
      <c r="H835" s="5"/>
      <c r="I835" s="5"/>
      <c r="J835" s="5"/>
      <c r="K835" s="5"/>
      <c r="L835" s="5"/>
    </row>
    <row r="836" spans="1:16" ht="15.75" hidden="1" x14ac:dyDescent="0.25">
      <c r="A836" s="48">
        <v>835</v>
      </c>
      <c r="B836" s="49" t="s">
        <v>1734</v>
      </c>
      <c r="C836" s="49" t="s">
        <v>1735</v>
      </c>
      <c r="D836" s="53" t="s">
        <v>47</v>
      </c>
      <c r="E836" s="53" t="s">
        <v>48</v>
      </c>
      <c r="F836" s="45">
        <f t="shared" si="111"/>
        <v>0</v>
      </c>
      <c r="G836" s="58">
        <f t="shared" si="107"/>
        <v>0</v>
      </c>
      <c r="H836" s="5"/>
      <c r="I836" s="5"/>
      <c r="J836" s="5"/>
      <c r="K836" s="5"/>
      <c r="L836" s="5"/>
    </row>
    <row r="837" spans="1:16" ht="15.75" hidden="1" x14ac:dyDescent="0.25">
      <c r="A837" s="48">
        <v>836</v>
      </c>
      <c r="B837" s="49" t="s">
        <v>1736</v>
      </c>
      <c r="C837" s="49" t="s">
        <v>1737</v>
      </c>
      <c r="D837" s="53" t="s">
        <v>47</v>
      </c>
      <c r="E837" s="53" t="s">
        <v>105</v>
      </c>
      <c r="F837" s="45">
        <f t="shared" si="111"/>
        <v>30</v>
      </c>
      <c r="G837" s="58">
        <f t="shared" si="107"/>
        <v>0.5</v>
      </c>
      <c r="H837" s="5"/>
      <c r="I837" s="5"/>
      <c r="J837" s="5"/>
      <c r="K837" s="5"/>
      <c r="L837" s="5"/>
      <c r="N837" s="3">
        <v>30</v>
      </c>
    </row>
    <row r="838" spans="1:16" ht="15.75" hidden="1" x14ac:dyDescent="0.25">
      <c r="A838" s="48">
        <v>837</v>
      </c>
      <c r="B838" s="49" t="s">
        <v>1738</v>
      </c>
      <c r="C838" s="49" t="s">
        <v>1739</v>
      </c>
      <c r="D838" s="53" t="s">
        <v>47</v>
      </c>
      <c r="E838" s="53" t="s">
        <v>51</v>
      </c>
      <c r="F838" s="45">
        <f t="shared" si="111"/>
        <v>0</v>
      </c>
      <c r="G838" s="58">
        <f t="shared" si="107"/>
        <v>0</v>
      </c>
      <c r="H838" s="5"/>
      <c r="I838" s="5"/>
      <c r="J838" s="5"/>
      <c r="K838" s="5"/>
      <c r="L838" s="5"/>
    </row>
    <row r="839" spans="1:16" ht="15.75" hidden="1" x14ac:dyDescent="0.25">
      <c r="A839" s="48">
        <v>838</v>
      </c>
      <c r="B839" s="49" t="s">
        <v>1740</v>
      </c>
      <c r="C839" s="49" t="s">
        <v>1741</v>
      </c>
      <c r="D839" s="53" t="s">
        <v>47</v>
      </c>
      <c r="E839" s="53" t="s">
        <v>61</v>
      </c>
      <c r="F839" s="45">
        <f t="shared" si="111"/>
        <v>0</v>
      </c>
      <c r="G839" s="58">
        <f t="shared" si="107"/>
        <v>0</v>
      </c>
      <c r="H839" s="5"/>
      <c r="I839" s="5"/>
      <c r="J839" s="5"/>
      <c r="K839" s="5"/>
      <c r="L839" s="5"/>
    </row>
    <row r="840" spans="1:16" ht="15.75" hidden="1" x14ac:dyDescent="0.25">
      <c r="A840" s="48">
        <v>839</v>
      </c>
      <c r="B840" s="49" t="s">
        <v>1742</v>
      </c>
      <c r="C840" s="49" t="s">
        <v>1743</v>
      </c>
      <c r="D840" s="53" t="s">
        <v>47</v>
      </c>
      <c r="E840" s="53" t="s">
        <v>48</v>
      </c>
      <c r="F840" s="45">
        <f t="shared" si="111"/>
        <v>0</v>
      </c>
      <c r="G840" s="58">
        <f t="shared" si="107"/>
        <v>0</v>
      </c>
      <c r="H840" s="5"/>
      <c r="I840" s="5"/>
      <c r="J840" s="5"/>
      <c r="K840" s="5"/>
      <c r="L840" s="5"/>
    </row>
    <row r="841" spans="1:16" ht="15.75" hidden="1" x14ac:dyDescent="0.25">
      <c r="A841" s="48">
        <v>840</v>
      </c>
      <c r="B841" s="49" t="s">
        <v>1744</v>
      </c>
      <c r="C841" s="49" t="s">
        <v>1745</v>
      </c>
      <c r="D841" s="53" t="s">
        <v>47</v>
      </c>
      <c r="E841" s="53" t="s">
        <v>76</v>
      </c>
      <c r="F841" s="45">
        <f t="shared" si="111"/>
        <v>0</v>
      </c>
      <c r="G841" s="58">
        <f t="shared" si="107"/>
        <v>0</v>
      </c>
      <c r="H841" s="5"/>
      <c r="I841" s="5"/>
      <c r="J841" s="5"/>
      <c r="K841" s="5"/>
      <c r="L841" s="5"/>
    </row>
    <row r="842" spans="1:16" ht="15.75" hidden="1" x14ac:dyDescent="0.25">
      <c r="A842" s="48">
        <v>841</v>
      </c>
      <c r="B842" s="49" t="s">
        <v>1746</v>
      </c>
      <c r="C842" s="49" t="s">
        <v>1747</v>
      </c>
      <c r="D842" s="53" t="s">
        <v>64</v>
      </c>
      <c r="E842" s="53" t="s">
        <v>186</v>
      </c>
      <c r="F842" s="45">
        <f t="shared" ref="F842:F885" si="112">SUM($H842:$K842)</f>
        <v>0</v>
      </c>
      <c r="G842" s="58">
        <f t="shared" si="107"/>
        <v>0</v>
      </c>
      <c r="H842" s="5"/>
      <c r="I842" s="5"/>
      <c r="J842" s="5"/>
      <c r="K842" s="5"/>
      <c r="L842" s="5"/>
    </row>
    <row r="843" spans="1:16" ht="15.75" hidden="1" x14ac:dyDescent="0.25">
      <c r="A843" s="48">
        <v>842</v>
      </c>
      <c r="B843" s="49" t="s">
        <v>1748</v>
      </c>
      <c r="C843" s="49" t="s">
        <v>1749</v>
      </c>
      <c r="D843" s="53" t="s">
        <v>47</v>
      </c>
      <c r="E843" s="53" t="s">
        <v>51</v>
      </c>
      <c r="F843" s="45">
        <f>SUM($H843:$P843)</f>
        <v>0</v>
      </c>
      <c r="G843" s="58">
        <f t="shared" si="107"/>
        <v>0</v>
      </c>
      <c r="H843" s="5"/>
      <c r="I843" s="5"/>
      <c r="J843" s="5"/>
      <c r="K843" s="5"/>
      <c r="L843" s="5"/>
    </row>
    <row r="844" spans="1:16" ht="15.75" hidden="1" x14ac:dyDescent="0.25">
      <c r="A844" s="48">
        <v>843</v>
      </c>
      <c r="B844" s="49" t="s">
        <v>1750</v>
      </c>
      <c r="C844" s="49" t="s">
        <v>1751</v>
      </c>
      <c r="D844" s="53" t="s">
        <v>64</v>
      </c>
      <c r="E844" s="53" t="s">
        <v>186</v>
      </c>
      <c r="F844" s="45">
        <f t="shared" si="112"/>
        <v>0</v>
      </c>
      <c r="G844" s="58">
        <f t="shared" si="107"/>
        <v>0</v>
      </c>
      <c r="H844" s="5"/>
      <c r="I844" s="5"/>
      <c r="J844" s="5"/>
      <c r="K844" s="5"/>
      <c r="L844" s="5"/>
    </row>
    <row r="845" spans="1:16" ht="15.75" hidden="1" x14ac:dyDescent="0.25">
      <c r="A845" s="48">
        <v>844</v>
      </c>
      <c r="B845" s="49" t="s">
        <v>1752</v>
      </c>
      <c r="C845" s="49" t="s">
        <v>1753</v>
      </c>
      <c r="D845" s="53" t="s">
        <v>82</v>
      </c>
      <c r="E845" s="53" t="s">
        <v>140</v>
      </c>
      <c r="F845" s="45">
        <f t="shared" si="112"/>
        <v>0</v>
      </c>
      <c r="G845" s="58">
        <f t="shared" si="107"/>
        <v>0</v>
      </c>
      <c r="H845" s="5"/>
      <c r="I845" s="5"/>
      <c r="J845" s="5"/>
      <c r="K845" s="5"/>
      <c r="L845" s="5"/>
    </row>
    <row r="846" spans="1:16" ht="15.75" hidden="1" x14ac:dyDescent="0.25">
      <c r="A846" s="48">
        <v>845</v>
      </c>
      <c r="B846" s="49" t="s">
        <v>1754</v>
      </c>
      <c r="C846" s="49" t="s">
        <v>1755</v>
      </c>
      <c r="D846" s="53" t="s">
        <v>47</v>
      </c>
      <c r="E846" s="53" t="s">
        <v>105</v>
      </c>
      <c r="F846" s="45">
        <f t="shared" ref="F846:F853" si="113">SUM($H846:$P846)</f>
        <v>0</v>
      </c>
      <c r="G846" s="58">
        <f t="shared" si="107"/>
        <v>0</v>
      </c>
      <c r="H846" s="5"/>
      <c r="I846" s="5"/>
      <c r="J846" s="5"/>
      <c r="K846" s="5"/>
      <c r="L846" s="5"/>
    </row>
    <row r="847" spans="1:16" ht="15.75" hidden="1" x14ac:dyDescent="0.25">
      <c r="A847" s="48">
        <v>846</v>
      </c>
      <c r="B847" s="49" t="s">
        <v>1756</v>
      </c>
      <c r="C847" s="49" t="s">
        <v>1757</v>
      </c>
      <c r="D847" s="53" t="s">
        <v>47</v>
      </c>
      <c r="E847" s="53" t="s">
        <v>51</v>
      </c>
      <c r="F847" s="45">
        <f t="shared" si="113"/>
        <v>150</v>
      </c>
      <c r="G847" s="58">
        <f t="shared" si="107"/>
        <v>2.5</v>
      </c>
      <c r="H847" s="5">
        <v>90</v>
      </c>
      <c r="I847" s="5"/>
      <c r="J847" s="5"/>
      <c r="K847" s="5"/>
      <c r="L847" s="5"/>
      <c r="M847" s="3">
        <v>30</v>
      </c>
      <c r="N847" s="3">
        <v>30</v>
      </c>
    </row>
    <row r="848" spans="1:16" ht="15.75" hidden="1" x14ac:dyDescent="0.25">
      <c r="A848" s="48">
        <v>847</v>
      </c>
      <c r="B848" s="49" t="s">
        <v>1758</v>
      </c>
      <c r="C848" s="49" t="s">
        <v>1759</v>
      </c>
      <c r="D848" s="53" t="s">
        <v>47</v>
      </c>
      <c r="E848" s="53" t="s">
        <v>48</v>
      </c>
      <c r="F848" s="45">
        <f t="shared" si="113"/>
        <v>30</v>
      </c>
      <c r="G848" s="58">
        <f t="shared" si="107"/>
        <v>0.5</v>
      </c>
      <c r="H848" s="5"/>
      <c r="I848" s="5"/>
      <c r="J848" s="5"/>
      <c r="K848" s="5"/>
      <c r="L848" s="5"/>
      <c r="P848" s="3">
        <v>30</v>
      </c>
    </row>
    <row r="849" spans="1:16" ht="15.75" hidden="1" x14ac:dyDescent="0.25">
      <c r="A849" s="48">
        <v>848</v>
      </c>
      <c r="B849" s="49" t="s">
        <v>1760</v>
      </c>
      <c r="C849" s="49" t="s">
        <v>1761</v>
      </c>
      <c r="D849" s="53" t="s">
        <v>47</v>
      </c>
      <c r="E849" s="53" t="s">
        <v>76</v>
      </c>
      <c r="F849" s="45">
        <f t="shared" si="113"/>
        <v>90</v>
      </c>
      <c r="G849" s="58">
        <f t="shared" si="107"/>
        <v>1.5</v>
      </c>
      <c r="H849" s="5"/>
      <c r="I849" s="5"/>
      <c r="J849" s="5"/>
      <c r="K849" s="5">
        <v>90</v>
      </c>
      <c r="L849" s="5"/>
    </row>
    <row r="850" spans="1:16" ht="15.75" hidden="1" x14ac:dyDescent="0.25">
      <c r="A850" s="48">
        <v>849</v>
      </c>
      <c r="B850" s="49" t="s">
        <v>1762</v>
      </c>
      <c r="C850" s="49" t="s">
        <v>1763</v>
      </c>
      <c r="D850" s="53" t="s">
        <v>47</v>
      </c>
      <c r="E850" s="53" t="s">
        <v>79</v>
      </c>
      <c r="F850" s="45">
        <f t="shared" si="113"/>
        <v>0</v>
      </c>
      <c r="G850" s="58">
        <f t="shared" si="107"/>
        <v>0</v>
      </c>
      <c r="H850" s="5"/>
      <c r="I850" s="5"/>
      <c r="J850" s="5"/>
      <c r="K850" s="5"/>
      <c r="L850" s="5"/>
    </row>
    <row r="851" spans="1:16" ht="15.75" hidden="1" x14ac:dyDescent="0.25">
      <c r="A851" s="48">
        <v>850</v>
      </c>
      <c r="B851" s="49" t="s">
        <v>1764</v>
      </c>
      <c r="C851" s="49" t="s">
        <v>1765</v>
      </c>
      <c r="D851" s="53" t="s">
        <v>47</v>
      </c>
      <c r="E851" s="53" t="s">
        <v>48</v>
      </c>
      <c r="F851" s="45">
        <f t="shared" si="113"/>
        <v>0</v>
      </c>
      <c r="G851" s="58">
        <f t="shared" si="107"/>
        <v>0</v>
      </c>
      <c r="H851" s="5"/>
      <c r="I851" s="5"/>
      <c r="J851" s="5"/>
      <c r="K851" s="5"/>
      <c r="L851" s="5"/>
    </row>
    <row r="852" spans="1:16" ht="15.75" hidden="1" x14ac:dyDescent="0.25">
      <c r="A852" s="48">
        <v>851</v>
      </c>
      <c r="B852" s="49" t="s">
        <v>1766</v>
      </c>
      <c r="C852" t="s">
        <v>1767</v>
      </c>
      <c r="D852" s="53" t="s">
        <v>47</v>
      </c>
      <c r="E852" s="53" t="s">
        <v>76</v>
      </c>
      <c r="F852" s="45">
        <f t="shared" si="113"/>
        <v>0</v>
      </c>
      <c r="G852" s="58">
        <f t="shared" si="107"/>
        <v>0</v>
      </c>
      <c r="H852" s="5"/>
      <c r="I852" s="5"/>
      <c r="J852" s="5"/>
      <c r="K852" s="5"/>
      <c r="L852" s="5"/>
    </row>
    <row r="853" spans="1:16" ht="15.75" hidden="1" x14ac:dyDescent="0.25">
      <c r="A853" s="48">
        <v>852</v>
      </c>
      <c r="B853" s="49" t="s">
        <v>1768</v>
      </c>
      <c r="C853" s="49" t="s">
        <v>1769</v>
      </c>
      <c r="D853" s="53" t="s">
        <v>47</v>
      </c>
      <c r="E853" s="53" t="s">
        <v>56</v>
      </c>
      <c r="F853" s="45">
        <f t="shared" si="113"/>
        <v>0</v>
      </c>
      <c r="G853" s="58">
        <f t="shared" si="107"/>
        <v>0</v>
      </c>
      <c r="H853" s="5"/>
      <c r="I853" s="5"/>
      <c r="J853" s="5"/>
      <c r="K853" s="5"/>
      <c r="L853" s="5"/>
    </row>
    <row r="854" spans="1:16" ht="15.75" hidden="1" x14ac:dyDescent="0.25">
      <c r="A854" s="48">
        <v>853</v>
      </c>
      <c r="B854" s="49" t="s">
        <v>1770</v>
      </c>
      <c r="C854" s="49" t="s">
        <v>1771</v>
      </c>
      <c r="D854" s="53" t="s">
        <v>82</v>
      </c>
      <c r="E854" s="53" t="s">
        <v>140</v>
      </c>
      <c r="F854" s="45">
        <f t="shared" si="112"/>
        <v>0</v>
      </c>
      <c r="G854" s="58">
        <f t="shared" si="107"/>
        <v>0</v>
      </c>
      <c r="H854" s="5"/>
      <c r="I854" s="5"/>
      <c r="J854" s="5"/>
      <c r="K854" s="5"/>
      <c r="L854" s="5"/>
    </row>
    <row r="855" spans="1:16" ht="15.75" hidden="1" x14ac:dyDescent="0.25">
      <c r="A855" s="48">
        <v>854</v>
      </c>
      <c r="B855" s="49" t="s">
        <v>1772</v>
      </c>
      <c r="C855" s="49" t="s">
        <v>1773</v>
      </c>
      <c r="D855" s="53" t="s">
        <v>47</v>
      </c>
      <c r="E855" s="53" t="s">
        <v>61</v>
      </c>
      <c r="F855" s="45">
        <f t="shared" ref="F855:F864" si="114">SUM($H855:$P855)</f>
        <v>150</v>
      </c>
      <c r="G855" s="58">
        <f t="shared" si="107"/>
        <v>2.5</v>
      </c>
      <c r="H855" s="5"/>
      <c r="I855" s="5"/>
      <c r="J855" s="5"/>
      <c r="K855" s="5">
        <v>90</v>
      </c>
      <c r="L855" s="5"/>
      <c r="O855" s="3">
        <v>30</v>
      </c>
      <c r="P855" s="3">
        <v>30</v>
      </c>
    </row>
    <row r="856" spans="1:16" ht="15.75" hidden="1" x14ac:dyDescent="0.25">
      <c r="A856" s="48">
        <v>855</v>
      </c>
      <c r="B856" s="49" t="s">
        <v>1774</v>
      </c>
      <c r="C856" s="49" t="s">
        <v>1775</v>
      </c>
      <c r="D856" s="53" t="s">
        <v>47</v>
      </c>
      <c r="E856" s="53" t="s">
        <v>48</v>
      </c>
      <c r="F856" s="45">
        <f t="shared" si="114"/>
        <v>90</v>
      </c>
      <c r="G856" s="58">
        <f t="shared" si="107"/>
        <v>1.5</v>
      </c>
      <c r="H856" s="5"/>
      <c r="I856" s="5"/>
      <c r="J856" s="5"/>
      <c r="K856" s="5"/>
      <c r="L856" s="5"/>
      <c r="M856" s="3">
        <v>30</v>
      </c>
      <c r="O856" s="3">
        <v>30</v>
      </c>
      <c r="P856" s="3">
        <v>30</v>
      </c>
    </row>
    <row r="857" spans="1:16" ht="15.75" hidden="1" x14ac:dyDescent="0.25">
      <c r="A857" s="48">
        <v>856</v>
      </c>
      <c r="B857" s="49" t="s">
        <v>1776</v>
      </c>
      <c r="C857" s="49" t="s">
        <v>1777</v>
      </c>
      <c r="D857" s="53" t="s">
        <v>47</v>
      </c>
      <c r="E857" s="53" t="s">
        <v>48</v>
      </c>
      <c r="F857" s="45">
        <f t="shared" si="114"/>
        <v>180</v>
      </c>
      <c r="G857" s="58">
        <f t="shared" si="107"/>
        <v>3</v>
      </c>
      <c r="H857" s="5"/>
      <c r="I857" s="5"/>
      <c r="J857" s="5"/>
      <c r="K857" s="5">
        <v>90</v>
      </c>
      <c r="L857" s="5"/>
      <c r="N857" s="3">
        <v>30</v>
      </c>
      <c r="O857" s="3">
        <v>30</v>
      </c>
      <c r="P857" s="3">
        <v>30</v>
      </c>
    </row>
    <row r="858" spans="1:16" ht="15.75" hidden="1" x14ac:dyDescent="0.25">
      <c r="A858" s="48">
        <v>857</v>
      </c>
      <c r="B858" s="49" t="s">
        <v>1778</v>
      </c>
      <c r="C858" s="49" t="s">
        <v>1779</v>
      </c>
      <c r="D858" s="53" t="s">
        <v>47</v>
      </c>
      <c r="E858" s="53" t="s">
        <v>48</v>
      </c>
      <c r="F858" s="45">
        <f t="shared" si="114"/>
        <v>97</v>
      </c>
      <c r="G858" s="58">
        <f t="shared" si="107"/>
        <v>1.6166666666666667</v>
      </c>
      <c r="H858" s="5"/>
      <c r="I858" s="5">
        <v>37</v>
      </c>
      <c r="J858" s="5"/>
      <c r="K858" s="5"/>
      <c r="L858" s="5"/>
      <c r="O858" s="3">
        <v>30</v>
      </c>
      <c r="P858" s="3">
        <v>30</v>
      </c>
    </row>
    <row r="859" spans="1:16" ht="15.75" hidden="1" x14ac:dyDescent="0.25">
      <c r="A859" s="48">
        <v>858</v>
      </c>
      <c r="B859" s="49" t="s">
        <v>1780</v>
      </c>
      <c r="C859" s="49" t="s">
        <v>1781</v>
      </c>
      <c r="D859" s="53" t="s">
        <v>47</v>
      </c>
      <c r="E859" s="53" t="s">
        <v>48</v>
      </c>
      <c r="F859" s="45">
        <f t="shared" si="114"/>
        <v>240</v>
      </c>
      <c r="G859" s="58">
        <f t="shared" si="107"/>
        <v>4</v>
      </c>
      <c r="H859" s="5"/>
      <c r="I859" s="5"/>
      <c r="J859" s="5">
        <v>60</v>
      </c>
      <c r="K859" s="5">
        <v>90</v>
      </c>
      <c r="L859" s="5"/>
      <c r="N859" s="3">
        <v>30</v>
      </c>
      <c r="O859" s="5">
        <v>30</v>
      </c>
      <c r="P859" s="3">
        <v>30</v>
      </c>
    </row>
    <row r="860" spans="1:16" ht="15.75" hidden="1" x14ac:dyDescent="0.25">
      <c r="A860" s="48">
        <v>859</v>
      </c>
      <c r="B860" s="49" t="s">
        <v>1782</v>
      </c>
      <c r="C860" s="49" t="s">
        <v>1783</v>
      </c>
      <c r="D860" s="53" t="s">
        <v>47</v>
      </c>
      <c r="E860" s="53" t="s">
        <v>76</v>
      </c>
      <c r="F860" s="45">
        <f t="shared" si="114"/>
        <v>0</v>
      </c>
      <c r="G860" s="58">
        <f t="shared" si="107"/>
        <v>0</v>
      </c>
      <c r="H860" s="5"/>
      <c r="I860" s="5"/>
      <c r="J860" s="5"/>
      <c r="K860" s="5"/>
      <c r="L860" s="5"/>
    </row>
    <row r="861" spans="1:16" ht="15.75" hidden="1" x14ac:dyDescent="0.25">
      <c r="A861" s="48">
        <v>860</v>
      </c>
      <c r="B861" s="49" t="s">
        <v>1784</v>
      </c>
      <c r="C861" s="49" t="s">
        <v>1785</v>
      </c>
      <c r="D861" s="53" t="s">
        <v>47</v>
      </c>
      <c r="E861" s="53" t="s">
        <v>51</v>
      </c>
      <c r="F861" s="45">
        <f t="shared" si="114"/>
        <v>90</v>
      </c>
      <c r="G861" s="58">
        <f t="shared" si="107"/>
        <v>1.5</v>
      </c>
      <c r="H861" s="5">
        <v>90</v>
      </c>
      <c r="I861" s="5"/>
      <c r="J861" s="5"/>
      <c r="K861" s="5"/>
      <c r="L861" s="5"/>
    </row>
    <row r="862" spans="1:16" ht="15.75" hidden="1" x14ac:dyDescent="0.25">
      <c r="A862" s="48">
        <v>861</v>
      </c>
      <c r="B862" s="49" t="s">
        <v>1786</v>
      </c>
      <c r="C862" s="49" t="s">
        <v>1787</v>
      </c>
      <c r="D862" s="53" t="s">
        <v>47</v>
      </c>
      <c r="E862" s="53" t="s">
        <v>76</v>
      </c>
      <c r="F862" s="45">
        <f t="shared" si="114"/>
        <v>180</v>
      </c>
      <c r="G862" s="58">
        <f t="shared" si="107"/>
        <v>3</v>
      </c>
      <c r="H862" s="5">
        <v>90</v>
      </c>
      <c r="I862" s="5"/>
      <c r="J862" s="5"/>
      <c r="K862" s="5"/>
      <c r="L862" s="5"/>
      <c r="M862" s="3">
        <v>30</v>
      </c>
      <c r="N862" s="3">
        <v>30</v>
      </c>
      <c r="O862" s="3">
        <v>30</v>
      </c>
    </row>
    <row r="863" spans="1:16" ht="15.75" hidden="1" x14ac:dyDescent="0.25">
      <c r="A863" s="48">
        <v>862</v>
      </c>
      <c r="B863" s="49" t="s">
        <v>1788</v>
      </c>
      <c r="C863" s="49" t="s">
        <v>1789</v>
      </c>
      <c r="D863" s="53" t="s">
        <v>47</v>
      </c>
      <c r="E863" s="53" t="s">
        <v>86</v>
      </c>
      <c r="F863" s="45">
        <f t="shared" si="114"/>
        <v>0</v>
      </c>
      <c r="G863" s="58">
        <f t="shared" si="107"/>
        <v>0</v>
      </c>
      <c r="H863" s="5"/>
      <c r="I863" s="5"/>
      <c r="J863" s="5"/>
      <c r="K863" s="5"/>
      <c r="L863" s="5"/>
    </row>
    <row r="864" spans="1:16" ht="15.75" hidden="1" x14ac:dyDescent="0.25">
      <c r="A864" s="48">
        <v>863</v>
      </c>
      <c r="B864" s="49" t="s">
        <v>1790</v>
      </c>
      <c r="C864" s="49" t="s">
        <v>1791</v>
      </c>
      <c r="D864" s="53" t="s">
        <v>47</v>
      </c>
      <c r="E864" s="53" t="s">
        <v>116</v>
      </c>
      <c r="F864" s="45">
        <f t="shared" si="114"/>
        <v>0</v>
      </c>
      <c r="G864" s="58">
        <f t="shared" si="107"/>
        <v>0</v>
      </c>
      <c r="H864" s="5"/>
      <c r="I864" s="5"/>
      <c r="J864" s="5"/>
      <c r="K864" s="5"/>
      <c r="L864" s="5"/>
    </row>
    <row r="865" spans="1:16" ht="15.75" hidden="1" x14ac:dyDescent="0.25">
      <c r="A865" s="48">
        <v>864</v>
      </c>
      <c r="B865" s="49" t="s">
        <v>1792</v>
      </c>
      <c r="C865" s="49" t="s">
        <v>1793</v>
      </c>
      <c r="D865" s="53" t="s">
        <v>64</v>
      </c>
      <c r="E865" s="53" t="s">
        <v>186</v>
      </c>
      <c r="F865" s="45">
        <f t="shared" si="112"/>
        <v>0</v>
      </c>
      <c r="G865" s="58">
        <f t="shared" si="107"/>
        <v>0</v>
      </c>
      <c r="H865" s="5"/>
      <c r="I865" s="5"/>
      <c r="J865" s="5"/>
      <c r="K865" s="5"/>
      <c r="L865" s="5"/>
    </row>
    <row r="866" spans="1:16" ht="15.75" hidden="1" x14ac:dyDescent="0.25">
      <c r="A866" s="48">
        <v>865</v>
      </c>
      <c r="B866" s="49" t="s">
        <v>1794</v>
      </c>
      <c r="C866" s="49" t="s">
        <v>1795</v>
      </c>
      <c r="D866" s="53" t="s">
        <v>64</v>
      </c>
      <c r="E866" s="53" t="s">
        <v>65</v>
      </c>
      <c r="F866" s="45">
        <f t="shared" si="112"/>
        <v>0</v>
      </c>
      <c r="G866" s="58">
        <f t="shared" si="107"/>
        <v>0</v>
      </c>
      <c r="H866" s="5"/>
      <c r="I866" s="5"/>
      <c r="J866" s="5"/>
      <c r="K866" s="5"/>
      <c r="L866" s="5"/>
    </row>
    <row r="867" spans="1:16" ht="15.75" hidden="1" x14ac:dyDescent="0.25">
      <c r="A867" s="48">
        <v>866</v>
      </c>
      <c r="B867" s="49" t="s">
        <v>1796</v>
      </c>
      <c r="C867" s="49" t="s">
        <v>1797</v>
      </c>
      <c r="D867" s="53" t="s">
        <v>47</v>
      </c>
      <c r="E867" s="53" t="s">
        <v>48</v>
      </c>
      <c r="F867" s="45">
        <f t="shared" ref="F867:F874" si="115">SUM($H867:$P867)</f>
        <v>154</v>
      </c>
      <c r="G867" s="58">
        <f t="shared" si="107"/>
        <v>2.5666666666666669</v>
      </c>
      <c r="H867" s="5"/>
      <c r="I867" s="5">
        <v>64</v>
      </c>
      <c r="J867" s="5"/>
      <c r="K867" s="5"/>
      <c r="L867" s="5">
        <v>60</v>
      </c>
      <c r="O867" s="3">
        <v>30</v>
      </c>
    </row>
    <row r="868" spans="1:16" ht="15.75" hidden="1" x14ac:dyDescent="0.25">
      <c r="A868" s="48">
        <v>867</v>
      </c>
      <c r="B868" s="49" t="s">
        <v>1798</v>
      </c>
      <c r="C868" s="49" t="s">
        <v>1799</v>
      </c>
      <c r="D868" s="53" t="s">
        <v>47</v>
      </c>
      <c r="E868" s="53" t="s">
        <v>48</v>
      </c>
      <c r="F868" s="45">
        <f t="shared" si="115"/>
        <v>0</v>
      </c>
      <c r="G868" s="58">
        <f t="shared" si="107"/>
        <v>0</v>
      </c>
      <c r="H868" s="5"/>
      <c r="I868" s="5"/>
      <c r="J868" s="5"/>
      <c r="K868" s="5"/>
      <c r="L868" s="5"/>
    </row>
    <row r="869" spans="1:16" ht="15.75" hidden="1" x14ac:dyDescent="0.25">
      <c r="A869" s="48">
        <v>868</v>
      </c>
      <c r="B869" s="49" t="s">
        <v>1800</v>
      </c>
      <c r="C869" s="49" t="s">
        <v>1801</v>
      </c>
      <c r="D869" s="53" t="s">
        <v>47</v>
      </c>
      <c r="E869" s="53" t="s">
        <v>51</v>
      </c>
      <c r="F869" s="45">
        <f t="shared" si="115"/>
        <v>0</v>
      </c>
      <c r="G869" s="58">
        <f t="shared" ref="G869:G932" si="116">F869/60</f>
        <v>0</v>
      </c>
      <c r="H869" s="5"/>
      <c r="I869" s="5"/>
      <c r="J869" s="5"/>
      <c r="K869" s="5"/>
      <c r="L869" s="5"/>
    </row>
    <row r="870" spans="1:16" ht="15.75" hidden="1" x14ac:dyDescent="0.25">
      <c r="A870" s="48">
        <v>869</v>
      </c>
      <c r="B870" s="49" t="s">
        <v>1802</v>
      </c>
      <c r="C870" s="49" t="s">
        <v>1803</v>
      </c>
      <c r="D870" s="53" t="s">
        <v>47</v>
      </c>
      <c r="E870" s="53" t="s">
        <v>105</v>
      </c>
      <c r="F870" s="45">
        <f t="shared" si="115"/>
        <v>120</v>
      </c>
      <c r="G870" s="58">
        <f t="shared" si="116"/>
        <v>2</v>
      </c>
      <c r="H870" s="5"/>
      <c r="I870" s="5"/>
      <c r="J870" s="5"/>
      <c r="K870" s="5"/>
      <c r="L870" s="5"/>
      <c r="M870" s="3">
        <v>30</v>
      </c>
      <c r="N870" s="3">
        <v>30</v>
      </c>
      <c r="O870" s="3">
        <v>30</v>
      </c>
      <c r="P870" s="3">
        <v>30</v>
      </c>
    </row>
    <row r="871" spans="1:16" ht="15.75" hidden="1" x14ac:dyDescent="0.25">
      <c r="A871" s="48">
        <v>870</v>
      </c>
      <c r="B871" s="49" t="s">
        <v>1804</v>
      </c>
      <c r="C871" s="49" t="s">
        <v>1805</v>
      </c>
      <c r="D871" s="53" t="s">
        <v>47</v>
      </c>
      <c r="E871" s="53" t="s">
        <v>86</v>
      </c>
      <c r="F871" s="45">
        <f t="shared" si="115"/>
        <v>0</v>
      </c>
      <c r="G871" s="58">
        <f t="shared" si="116"/>
        <v>0</v>
      </c>
      <c r="H871" s="5"/>
      <c r="I871" s="5"/>
      <c r="J871" s="5"/>
      <c r="K871" s="5"/>
      <c r="L871" s="5"/>
    </row>
    <row r="872" spans="1:16" ht="15.75" hidden="1" x14ac:dyDescent="0.25">
      <c r="A872" s="48">
        <v>871</v>
      </c>
      <c r="B872" s="49" t="s">
        <v>1806</v>
      </c>
      <c r="C872" s="49" t="s">
        <v>1807</v>
      </c>
      <c r="D872" s="53" t="s">
        <v>47</v>
      </c>
      <c r="E872" s="53" t="s">
        <v>51</v>
      </c>
      <c r="F872" s="45">
        <f t="shared" si="115"/>
        <v>305</v>
      </c>
      <c r="G872" s="58">
        <f t="shared" si="116"/>
        <v>5.083333333333333</v>
      </c>
      <c r="H872" s="5">
        <v>90</v>
      </c>
      <c r="I872" s="5">
        <v>65</v>
      </c>
      <c r="J872" s="5"/>
      <c r="K872" s="5"/>
      <c r="L872" s="5">
        <v>60</v>
      </c>
      <c r="N872" s="3">
        <v>30</v>
      </c>
      <c r="O872" s="3">
        <v>30</v>
      </c>
      <c r="P872" s="3">
        <v>30</v>
      </c>
    </row>
    <row r="873" spans="1:16" ht="15.75" hidden="1" x14ac:dyDescent="0.25">
      <c r="A873" s="48">
        <v>872</v>
      </c>
      <c r="B873" s="49" t="s">
        <v>1808</v>
      </c>
      <c r="C873" s="49" t="s">
        <v>1809</v>
      </c>
      <c r="D873" s="53" t="s">
        <v>47</v>
      </c>
      <c r="E873" s="53" t="s">
        <v>48</v>
      </c>
      <c r="F873" s="45">
        <f t="shared" si="115"/>
        <v>30</v>
      </c>
      <c r="G873" s="58">
        <f t="shared" si="116"/>
        <v>0.5</v>
      </c>
      <c r="H873" s="5"/>
      <c r="I873" s="5"/>
      <c r="J873" s="5"/>
      <c r="K873" s="5"/>
      <c r="L873" s="5"/>
      <c r="O873" s="3">
        <v>30</v>
      </c>
    </row>
    <row r="874" spans="1:16" ht="15.75" hidden="1" x14ac:dyDescent="0.25">
      <c r="A874" s="48">
        <v>873</v>
      </c>
      <c r="B874" s="49" t="s">
        <v>1810</v>
      </c>
      <c r="C874" s="49" t="s">
        <v>1811</v>
      </c>
      <c r="D874" s="53" t="s">
        <v>47</v>
      </c>
      <c r="E874" s="53" t="s">
        <v>48</v>
      </c>
      <c r="F874" s="45">
        <f t="shared" si="115"/>
        <v>90</v>
      </c>
      <c r="G874" s="58">
        <f t="shared" si="116"/>
        <v>1.5</v>
      </c>
      <c r="H874" s="5"/>
      <c r="I874" s="5"/>
      <c r="J874" s="5"/>
      <c r="K874" s="5"/>
      <c r="L874" s="5"/>
      <c r="N874" s="3">
        <v>30</v>
      </c>
      <c r="O874" s="3">
        <v>30</v>
      </c>
      <c r="P874" s="3">
        <v>30</v>
      </c>
    </row>
    <row r="875" spans="1:16" ht="15.75" hidden="1" x14ac:dyDescent="0.25">
      <c r="A875" s="48">
        <v>874</v>
      </c>
      <c r="B875" s="49" t="s">
        <v>1812</v>
      </c>
      <c r="C875" s="49" t="s">
        <v>1813</v>
      </c>
      <c r="D875" s="53" t="s">
        <v>64</v>
      </c>
      <c r="E875" s="53" t="s">
        <v>186</v>
      </c>
      <c r="F875" s="45">
        <f t="shared" si="112"/>
        <v>0</v>
      </c>
      <c r="G875" s="58">
        <f t="shared" si="116"/>
        <v>0</v>
      </c>
      <c r="H875" s="5"/>
      <c r="I875" s="5"/>
      <c r="J875" s="5"/>
      <c r="K875" s="5"/>
      <c r="L875" s="5"/>
    </row>
    <row r="876" spans="1:16" ht="15.75" hidden="1" x14ac:dyDescent="0.25">
      <c r="A876" s="48">
        <v>875</v>
      </c>
      <c r="B876" s="49" t="s">
        <v>1814</v>
      </c>
      <c r="C876" s="49" t="s">
        <v>1815</v>
      </c>
      <c r="D876" s="53" t="s">
        <v>47</v>
      </c>
      <c r="E876" s="53" t="s">
        <v>105</v>
      </c>
      <c r="F876" s="45">
        <f t="shared" ref="F876:F884" si="117">SUM($H876:$P876)</f>
        <v>0</v>
      </c>
      <c r="G876" s="58">
        <f t="shared" si="116"/>
        <v>0</v>
      </c>
      <c r="H876" s="5"/>
      <c r="I876" s="5"/>
      <c r="J876" s="5"/>
      <c r="K876" s="5"/>
      <c r="L876" s="5"/>
    </row>
    <row r="877" spans="1:16" ht="15.75" hidden="1" x14ac:dyDescent="0.25">
      <c r="A877" s="48">
        <v>876</v>
      </c>
      <c r="B877" s="49" t="s">
        <v>1816</v>
      </c>
      <c r="C877" s="49" t="s">
        <v>1817</v>
      </c>
      <c r="D877" s="53" t="s">
        <v>47</v>
      </c>
      <c r="E877" s="53" t="s">
        <v>48</v>
      </c>
      <c r="F877" s="45">
        <f t="shared" si="117"/>
        <v>210</v>
      </c>
      <c r="G877" s="58">
        <f t="shared" si="116"/>
        <v>3.5</v>
      </c>
      <c r="H877" s="5">
        <v>90</v>
      </c>
      <c r="I877" s="5"/>
      <c r="J877" s="5"/>
      <c r="K877" s="5"/>
      <c r="L877" s="5"/>
      <c r="M877" s="3">
        <v>30</v>
      </c>
      <c r="N877" s="3">
        <v>30</v>
      </c>
      <c r="O877" s="3">
        <v>30</v>
      </c>
      <c r="P877" s="3">
        <v>30</v>
      </c>
    </row>
    <row r="878" spans="1:16" ht="15.75" hidden="1" x14ac:dyDescent="0.25">
      <c r="A878" s="48">
        <v>877</v>
      </c>
      <c r="B878" s="49" t="s">
        <v>1818</v>
      </c>
      <c r="C878" s="49" t="s">
        <v>1819</v>
      </c>
      <c r="D878" s="53" t="s">
        <v>47</v>
      </c>
      <c r="E878" s="53" t="s">
        <v>48</v>
      </c>
      <c r="F878" s="45">
        <f t="shared" si="117"/>
        <v>180</v>
      </c>
      <c r="G878" s="58">
        <f t="shared" si="116"/>
        <v>3</v>
      </c>
      <c r="H878" s="5"/>
      <c r="I878" s="5"/>
      <c r="J878" s="5"/>
      <c r="K878" s="5">
        <v>90</v>
      </c>
      <c r="L878" s="5"/>
      <c r="N878" s="3">
        <v>30</v>
      </c>
      <c r="O878" s="3">
        <v>30</v>
      </c>
      <c r="P878" s="3">
        <v>30</v>
      </c>
    </row>
    <row r="879" spans="1:16" ht="15.75" hidden="1" x14ac:dyDescent="0.25">
      <c r="A879" s="48">
        <v>878</v>
      </c>
      <c r="B879" s="49" t="s">
        <v>1820</v>
      </c>
      <c r="C879" s="49" t="s">
        <v>1821</v>
      </c>
      <c r="D879" s="53" t="s">
        <v>47</v>
      </c>
      <c r="E879" s="53" t="s">
        <v>105</v>
      </c>
      <c r="F879" s="45">
        <f t="shared" si="117"/>
        <v>0</v>
      </c>
      <c r="G879" s="58">
        <f t="shared" si="116"/>
        <v>0</v>
      </c>
      <c r="H879" s="5"/>
      <c r="I879" s="5"/>
      <c r="J879" s="5"/>
      <c r="K879" s="5"/>
      <c r="L879" s="5"/>
    </row>
    <row r="880" spans="1:16" ht="15.75" hidden="1" x14ac:dyDescent="0.25">
      <c r="A880" s="48">
        <v>879</v>
      </c>
      <c r="B880" s="49" t="s">
        <v>1822</v>
      </c>
      <c r="C880" s="49" t="s">
        <v>1823</v>
      </c>
      <c r="D880" s="53" t="s">
        <v>47</v>
      </c>
      <c r="E880" s="53" t="s">
        <v>51</v>
      </c>
      <c r="F880" s="45">
        <f t="shared" si="117"/>
        <v>120</v>
      </c>
      <c r="G880" s="58">
        <f t="shared" si="116"/>
        <v>2</v>
      </c>
      <c r="H880" s="5"/>
      <c r="I880" s="5"/>
      <c r="J880" s="5"/>
      <c r="K880" s="5">
        <v>90</v>
      </c>
      <c r="L880" s="5"/>
      <c r="N880" s="3">
        <v>30</v>
      </c>
    </row>
    <row r="881" spans="1:16" ht="15.75" hidden="1" x14ac:dyDescent="0.25">
      <c r="A881" s="48">
        <v>880</v>
      </c>
      <c r="B881" s="49" t="s">
        <v>1824</v>
      </c>
      <c r="C881" s="49" t="s">
        <v>1825</v>
      </c>
      <c r="D881" s="53" t="s">
        <v>47</v>
      </c>
      <c r="E881" s="53" t="s">
        <v>48</v>
      </c>
      <c r="F881" s="45">
        <f t="shared" si="117"/>
        <v>120</v>
      </c>
      <c r="G881" s="58">
        <f t="shared" si="116"/>
        <v>2</v>
      </c>
      <c r="H881" s="5"/>
      <c r="I881" s="5"/>
      <c r="J881" s="5"/>
      <c r="K881" s="5"/>
      <c r="L881" s="5"/>
      <c r="M881" s="3">
        <v>30</v>
      </c>
      <c r="N881" s="3">
        <v>30</v>
      </c>
      <c r="O881" s="3">
        <v>30</v>
      </c>
      <c r="P881" s="3">
        <v>30</v>
      </c>
    </row>
    <row r="882" spans="1:16" ht="15.75" hidden="1" x14ac:dyDescent="0.25">
      <c r="A882" s="48">
        <v>881</v>
      </c>
      <c r="B882" s="49" t="s">
        <v>1826</v>
      </c>
      <c r="C882" s="49" t="s">
        <v>1827</v>
      </c>
      <c r="D882" s="53" t="s">
        <v>47</v>
      </c>
      <c r="E882" s="53" t="s">
        <v>76</v>
      </c>
      <c r="F882" s="45">
        <f t="shared" si="117"/>
        <v>180</v>
      </c>
      <c r="G882" s="58">
        <f t="shared" si="116"/>
        <v>3</v>
      </c>
      <c r="H882" s="5"/>
      <c r="I882" s="5"/>
      <c r="J882" s="5"/>
      <c r="K882" s="5">
        <v>90</v>
      </c>
      <c r="L882" s="5"/>
      <c r="N882" s="3">
        <v>30</v>
      </c>
      <c r="O882" s="3">
        <v>30</v>
      </c>
      <c r="P882" s="3">
        <v>30</v>
      </c>
    </row>
    <row r="883" spans="1:16" ht="15.75" hidden="1" x14ac:dyDescent="0.25">
      <c r="A883" s="48">
        <v>882</v>
      </c>
      <c r="B883" s="49" t="s">
        <v>1828</v>
      </c>
      <c r="C883" s="49" t="s">
        <v>1829</v>
      </c>
      <c r="D883" s="53" t="s">
        <v>47</v>
      </c>
      <c r="E883" s="53" t="s">
        <v>48</v>
      </c>
      <c r="F883" s="45">
        <f t="shared" si="117"/>
        <v>161</v>
      </c>
      <c r="G883" s="58">
        <f t="shared" si="116"/>
        <v>2.6833333333333331</v>
      </c>
      <c r="H883" s="5">
        <v>90</v>
      </c>
      <c r="I883" s="5">
        <v>71</v>
      </c>
      <c r="J883" s="5"/>
      <c r="K883" s="5"/>
      <c r="L883" s="5"/>
    </row>
    <row r="884" spans="1:16" ht="15.75" hidden="1" x14ac:dyDescent="0.25">
      <c r="A884" s="48">
        <v>883</v>
      </c>
      <c r="B884" s="49" t="s">
        <v>1830</v>
      </c>
      <c r="C884" s="49" t="s">
        <v>1831</v>
      </c>
      <c r="D884" s="53" t="s">
        <v>47</v>
      </c>
      <c r="E884" s="53" t="s">
        <v>105</v>
      </c>
      <c r="F884" s="45">
        <f t="shared" si="117"/>
        <v>90</v>
      </c>
      <c r="G884" s="58">
        <f t="shared" si="116"/>
        <v>1.5</v>
      </c>
      <c r="H884" s="5"/>
      <c r="I884" s="5"/>
      <c r="J884" s="5"/>
      <c r="K884" s="5"/>
      <c r="L884" s="5"/>
      <c r="M884" s="3">
        <v>30</v>
      </c>
      <c r="N884" s="3">
        <v>30</v>
      </c>
      <c r="P884" s="3">
        <v>30</v>
      </c>
    </row>
    <row r="885" spans="1:16" ht="15.75" hidden="1" x14ac:dyDescent="0.25">
      <c r="A885" s="48">
        <v>884</v>
      </c>
      <c r="B885" s="49" t="s">
        <v>1832</v>
      </c>
      <c r="C885" s="49" t="s">
        <v>1833</v>
      </c>
      <c r="D885" s="53" t="s">
        <v>64</v>
      </c>
      <c r="E885" s="53" t="s">
        <v>186</v>
      </c>
      <c r="F885" s="45">
        <f t="shared" si="112"/>
        <v>90</v>
      </c>
      <c r="G885" s="58">
        <f t="shared" si="116"/>
        <v>1.5</v>
      </c>
      <c r="H885" s="5"/>
      <c r="I885" s="5"/>
      <c r="J885" s="5"/>
      <c r="K885" s="5">
        <v>90</v>
      </c>
      <c r="L885" s="5"/>
    </row>
    <row r="886" spans="1:16" ht="15.75" hidden="1" x14ac:dyDescent="0.25">
      <c r="A886" s="48">
        <v>885</v>
      </c>
      <c r="B886" s="49" t="s">
        <v>1834</v>
      </c>
      <c r="C886" s="49" t="s">
        <v>1835</v>
      </c>
      <c r="D886" s="53" t="s">
        <v>47</v>
      </c>
      <c r="E886" s="53" t="s">
        <v>48</v>
      </c>
      <c r="F886" s="45">
        <f t="shared" ref="F886:F897" si="118">SUM($H886:$P886)</f>
        <v>30</v>
      </c>
      <c r="G886" s="58">
        <f t="shared" si="116"/>
        <v>0.5</v>
      </c>
      <c r="H886" s="5"/>
      <c r="I886" s="5"/>
      <c r="J886" s="5"/>
      <c r="K886" s="5"/>
      <c r="L886" s="5"/>
      <c r="N886" s="3">
        <v>30</v>
      </c>
    </row>
    <row r="887" spans="1:16" ht="15.75" hidden="1" x14ac:dyDescent="0.25">
      <c r="A887" s="48">
        <v>886</v>
      </c>
      <c r="B887" s="49" t="s">
        <v>1836</v>
      </c>
      <c r="C887" s="49" t="s">
        <v>1837</v>
      </c>
      <c r="D887" s="53" t="s">
        <v>47</v>
      </c>
      <c r="E887" s="53" t="s">
        <v>48</v>
      </c>
      <c r="F887" s="45">
        <f t="shared" si="118"/>
        <v>0</v>
      </c>
      <c r="G887" s="58">
        <f t="shared" si="116"/>
        <v>0</v>
      </c>
      <c r="H887" s="5"/>
      <c r="I887" s="5"/>
      <c r="J887" s="5"/>
      <c r="K887" s="5"/>
      <c r="L887" s="5"/>
    </row>
    <row r="888" spans="1:16" ht="15.75" hidden="1" x14ac:dyDescent="0.25">
      <c r="A888" s="48">
        <v>887</v>
      </c>
      <c r="B888" s="49" t="s">
        <v>1838</v>
      </c>
      <c r="C888" s="49" t="s">
        <v>1839</v>
      </c>
      <c r="D888" s="53" t="s">
        <v>47</v>
      </c>
      <c r="E888" s="53" t="s">
        <v>51</v>
      </c>
      <c r="F888" s="45">
        <f t="shared" si="118"/>
        <v>0</v>
      </c>
      <c r="G888" s="58">
        <f t="shared" si="116"/>
        <v>0</v>
      </c>
      <c r="H888" s="5"/>
      <c r="I888" s="5"/>
      <c r="J888" s="5"/>
      <c r="K888" s="5"/>
      <c r="L888" s="5"/>
    </row>
    <row r="889" spans="1:16" ht="15.75" hidden="1" x14ac:dyDescent="0.25">
      <c r="A889" s="48">
        <v>888</v>
      </c>
      <c r="B889" s="49" t="s">
        <v>1840</v>
      </c>
      <c r="C889" s="49" t="s">
        <v>1841</v>
      </c>
      <c r="D889" s="53" t="s">
        <v>47</v>
      </c>
      <c r="E889" s="53" t="s">
        <v>48</v>
      </c>
      <c r="F889" s="45">
        <f t="shared" si="118"/>
        <v>60</v>
      </c>
      <c r="G889" s="58">
        <f t="shared" si="116"/>
        <v>1</v>
      </c>
      <c r="H889" s="5"/>
      <c r="I889" s="5"/>
      <c r="J889" s="5">
        <v>60</v>
      </c>
      <c r="K889" s="5"/>
      <c r="L889" s="5"/>
    </row>
    <row r="890" spans="1:16" ht="15.75" hidden="1" x14ac:dyDescent="0.25">
      <c r="A890" s="48">
        <v>889</v>
      </c>
      <c r="B890" s="49" t="s">
        <v>1842</v>
      </c>
      <c r="C890" s="49" t="s">
        <v>1843</v>
      </c>
      <c r="D890" s="53" t="s">
        <v>47</v>
      </c>
      <c r="E890" s="53" t="s">
        <v>56</v>
      </c>
      <c r="F890" s="45">
        <f t="shared" si="118"/>
        <v>180</v>
      </c>
      <c r="G890" s="58">
        <f t="shared" si="116"/>
        <v>3</v>
      </c>
      <c r="H890" s="5">
        <v>90</v>
      </c>
      <c r="I890" s="5"/>
      <c r="J890" s="5"/>
      <c r="K890" s="5"/>
      <c r="L890" s="5"/>
      <c r="M890" s="3">
        <v>30</v>
      </c>
      <c r="O890" s="3">
        <v>30</v>
      </c>
      <c r="P890" s="3">
        <v>30</v>
      </c>
    </row>
    <row r="891" spans="1:16" ht="15.75" hidden="1" x14ac:dyDescent="0.25">
      <c r="A891" s="48">
        <v>890</v>
      </c>
      <c r="B891" s="49" t="s">
        <v>1844</v>
      </c>
      <c r="C891" s="49" t="s">
        <v>1845</v>
      </c>
      <c r="D891" s="53" t="s">
        <v>47</v>
      </c>
      <c r="E891" s="53" t="s">
        <v>105</v>
      </c>
      <c r="F891" s="45">
        <f t="shared" si="118"/>
        <v>0</v>
      </c>
      <c r="G891" s="58">
        <f t="shared" si="116"/>
        <v>0</v>
      </c>
      <c r="H891" s="5"/>
      <c r="I891" s="5"/>
      <c r="J891" s="5"/>
      <c r="K891" s="5"/>
      <c r="L891" s="5"/>
    </row>
    <row r="892" spans="1:16" ht="15.75" hidden="1" x14ac:dyDescent="0.25">
      <c r="A892" s="48">
        <v>891</v>
      </c>
      <c r="B892" s="49" t="s">
        <v>1846</v>
      </c>
      <c r="C892" s="49" t="s">
        <v>1847</v>
      </c>
      <c r="D892" s="53" t="s">
        <v>47</v>
      </c>
      <c r="E892" s="53" t="s">
        <v>86</v>
      </c>
      <c r="F892" s="45">
        <f t="shared" si="118"/>
        <v>278</v>
      </c>
      <c r="G892" s="58">
        <f t="shared" si="116"/>
        <v>4.6333333333333337</v>
      </c>
      <c r="H892" s="5">
        <v>90</v>
      </c>
      <c r="I892" s="5">
        <v>68</v>
      </c>
      <c r="J892" s="5"/>
      <c r="K892" s="5"/>
      <c r="L892" s="5"/>
      <c r="M892" s="3">
        <v>30</v>
      </c>
      <c r="N892" s="3">
        <v>30</v>
      </c>
      <c r="O892" s="3">
        <v>30</v>
      </c>
      <c r="P892" s="3">
        <v>30</v>
      </c>
    </row>
    <row r="893" spans="1:16" ht="15.75" hidden="1" x14ac:dyDescent="0.25">
      <c r="A893" s="48">
        <v>892</v>
      </c>
      <c r="B893" s="49" t="s">
        <v>1848</v>
      </c>
      <c r="C893" s="49" t="s">
        <v>1849</v>
      </c>
      <c r="D893" s="53" t="s">
        <v>47</v>
      </c>
      <c r="E893" s="53" t="s">
        <v>105</v>
      </c>
      <c r="F893" s="45">
        <f t="shared" si="118"/>
        <v>0</v>
      </c>
      <c r="G893" s="58">
        <f t="shared" si="116"/>
        <v>0</v>
      </c>
      <c r="H893" s="5"/>
      <c r="I893" s="5"/>
      <c r="J893" s="5"/>
      <c r="K893" s="5"/>
      <c r="L893" s="5"/>
    </row>
    <row r="894" spans="1:16" ht="15.75" hidden="1" x14ac:dyDescent="0.25">
      <c r="A894" s="48">
        <v>893</v>
      </c>
      <c r="B894" s="49" t="s">
        <v>1850</v>
      </c>
      <c r="C894" s="49" t="s">
        <v>1851</v>
      </c>
      <c r="D894" s="53" t="s">
        <v>47</v>
      </c>
      <c r="E894" s="53" t="s">
        <v>48</v>
      </c>
      <c r="F894" s="45">
        <f t="shared" si="118"/>
        <v>210</v>
      </c>
      <c r="G894" s="58">
        <f t="shared" si="116"/>
        <v>3.5</v>
      </c>
      <c r="H894" s="5"/>
      <c r="I894" s="5"/>
      <c r="J894" s="5">
        <v>60</v>
      </c>
      <c r="K894" s="5">
        <v>90</v>
      </c>
      <c r="L894" s="5"/>
      <c r="O894" s="3">
        <v>30</v>
      </c>
      <c r="P894" s="3">
        <v>30</v>
      </c>
    </row>
    <row r="895" spans="1:16" ht="15.75" hidden="1" x14ac:dyDescent="0.25">
      <c r="A895" s="48">
        <v>894</v>
      </c>
      <c r="B895" s="49" t="s">
        <v>1852</v>
      </c>
      <c r="C895" s="49" t="s">
        <v>1853</v>
      </c>
      <c r="D895" s="53" t="s">
        <v>47</v>
      </c>
      <c r="E895" s="53" t="s">
        <v>48</v>
      </c>
      <c r="F895" s="45">
        <f t="shared" si="118"/>
        <v>0</v>
      </c>
      <c r="G895" s="58">
        <f t="shared" si="116"/>
        <v>0</v>
      </c>
      <c r="H895" s="5"/>
      <c r="I895" s="5"/>
      <c r="J895" s="5"/>
      <c r="K895" s="5"/>
      <c r="L895" s="5"/>
    </row>
    <row r="896" spans="1:16" ht="15.75" hidden="1" x14ac:dyDescent="0.25">
      <c r="A896" s="48">
        <v>895</v>
      </c>
      <c r="B896" s="49" t="s">
        <v>1854</v>
      </c>
      <c r="C896" s="49" t="s">
        <v>1855</v>
      </c>
      <c r="D896" s="53" t="s">
        <v>47</v>
      </c>
      <c r="E896" s="53" t="s">
        <v>51</v>
      </c>
      <c r="F896" s="45">
        <f t="shared" si="118"/>
        <v>0</v>
      </c>
      <c r="G896" s="58">
        <f t="shared" si="116"/>
        <v>0</v>
      </c>
      <c r="H896" s="5"/>
      <c r="I896" s="5"/>
      <c r="J896" s="5"/>
      <c r="K896" s="5"/>
      <c r="L896" s="5"/>
    </row>
    <row r="897" spans="1:16" ht="15.75" hidden="1" x14ac:dyDescent="0.25">
      <c r="A897" s="48">
        <v>896</v>
      </c>
      <c r="B897" s="49" t="s">
        <v>1856</v>
      </c>
      <c r="C897" s="49" t="s">
        <v>1857</v>
      </c>
      <c r="D897" s="53" t="s">
        <v>47</v>
      </c>
      <c r="E897" s="53" t="s">
        <v>51</v>
      </c>
      <c r="F897" s="45">
        <f t="shared" si="118"/>
        <v>0</v>
      </c>
      <c r="G897" s="58">
        <f t="shared" si="116"/>
        <v>0</v>
      </c>
      <c r="H897" s="5"/>
      <c r="I897" s="5"/>
      <c r="J897" s="5"/>
      <c r="K897" s="5"/>
      <c r="L897" s="5"/>
    </row>
    <row r="898" spans="1:16" ht="15.75" hidden="1" x14ac:dyDescent="0.25">
      <c r="A898" s="48">
        <v>897</v>
      </c>
      <c r="B898" s="49" t="s">
        <v>1858</v>
      </c>
      <c r="C898" s="49" t="s">
        <v>1859</v>
      </c>
      <c r="D898" s="53" t="s">
        <v>64</v>
      </c>
      <c r="E898" s="53" t="s">
        <v>65</v>
      </c>
      <c r="F898" s="45">
        <f t="shared" ref="F898:F955" si="119">SUM($H898:$K898)</f>
        <v>0</v>
      </c>
      <c r="G898" s="58">
        <f t="shared" si="116"/>
        <v>0</v>
      </c>
      <c r="H898" s="5"/>
      <c r="I898" s="5"/>
      <c r="J898" s="5"/>
      <c r="K898" s="5"/>
      <c r="L898" s="5"/>
    </row>
    <row r="899" spans="1:16" ht="15.75" hidden="1" x14ac:dyDescent="0.25">
      <c r="A899" s="48">
        <v>898</v>
      </c>
      <c r="B899" s="49" t="s">
        <v>1860</v>
      </c>
      <c r="C899" s="49" t="s">
        <v>1861</v>
      </c>
      <c r="D899" s="53" t="s">
        <v>47</v>
      </c>
      <c r="E899" s="53" t="s">
        <v>116</v>
      </c>
      <c r="F899" s="45">
        <f t="shared" ref="F899:F913" si="120">SUM($H899:$P899)</f>
        <v>168</v>
      </c>
      <c r="G899" s="58">
        <f t="shared" si="116"/>
        <v>2.8</v>
      </c>
      <c r="H899" s="5">
        <v>90</v>
      </c>
      <c r="I899" s="5">
        <v>18</v>
      </c>
      <c r="J899" s="5"/>
      <c r="K899" s="5"/>
      <c r="L899" s="5"/>
      <c r="M899" s="3">
        <v>30</v>
      </c>
      <c r="P899" s="3">
        <v>30</v>
      </c>
    </row>
    <row r="900" spans="1:16" ht="15.75" hidden="1" x14ac:dyDescent="0.25">
      <c r="A900" s="48">
        <v>899</v>
      </c>
      <c r="B900" s="49" t="s">
        <v>1862</v>
      </c>
      <c r="C900" s="49" t="s">
        <v>1863</v>
      </c>
      <c r="D900" s="53" t="s">
        <v>47</v>
      </c>
      <c r="E900" s="53" t="s">
        <v>51</v>
      </c>
      <c r="F900" s="45">
        <f t="shared" si="120"/>
        <v>0</v>
      </c>
      <c r="G900" s="58">
        <f t="shared" si="116"/>
        <v>0</v>
      </c>
      <c r="H900" s="5"/>
      <c r="I900" s="5"/>
      <c r="J900" s="5"/>
      <c r="K900" s="5"/>
      <c r="L900" s="5"/>
    </row>
    <row r="901" spans="1:16" ht="15.75" hidden="1" x14ac:dyDescent="0.25">
      <c r="A901" s="48">
        <v>900</v>
      </c>
      <c r="B901" s="49" t="s">
        <v>1864</v>
      </c>
      <c r="C901" s="49" t="s">
        <v>1865</v>
      </c>
      <c r="D901" s="53" t="s">
        <v>47</v>
      </c>
      <c r="E901" s="53" t="s">
        <v>105</v>
      </c>
      <c r="F901" s="45">
        <f t="shared" si="120"/>
        <v>0</v>
      </c>
      <c r="G901" s="58">
        <f t="shared" si="116"/>
        <v>0</v>
      </c>
      <c r="H901" s="5"/>
      <c r="I901" s="5"/>
      <c r="J901" s="5"/>
      <c r="K901" s="5"/>
      <c r="L901" s="5"/>
    </row>
    <row r="902" spans="1:16" ht="15.75" hidden="1" x14ac:dyDescent="0.25">
      <c r="A902" s="48">
        <v>901</v>
      </c>
      <c r="B902" s="49" t="s">
        <v>1866</v>
      </c>
      <c r="C902" s="49" t="s">
        <v>1867</v>
      </c>
      <c r="D902" s="53" t="s">
        <v>47</v>
      </c>
      <c r="E902" s="53" t="s">
        <v>48</v>
      </c>
      <c r="F902" s="45">
        <f t="shared" si="120"/>
        <v>235</v>
      </c>
      <c r="G902" s="58">
        <f t="shared" si="116"/>
        <v>3.9166666666666665</v>
      </c>
      <c r="H902" s="5">
        <v>90</v>
      </c>
      <c r="I902" s="5">
        <v>55</v>
      </c>
      <c r="J902" s="5"/>
      <c r="K902" s="5"/>
      <c r="L902" s="5">
        <v>60</v>
      </c>
      <c r="M902" s="3">
        <v>30</v>
      </c>
    </row>
    <row r="903" spans="1:16" ht="15.75" hidden="1" x14ac:dyDescent="0.25">
      <c r="A903" s="48">
        <v>902</v>
      </c>
      <c r="B903" s="49" t="s">
        <v>1868</v>
      </c>
      <c r="C903" s="49" t="s">
        <v>1869</v>
      </c>
      <c r="D903" s="53" t="s">
        <v>47</v>
      </c>
      <c r="E903" s="53" t="s">
        <v>48</v>
      </c>
      <c r="F903" s="45">
        <f t="shared" si="120"/>
        <v>222</v>
      </c>
      <c r="G903" s="58">
        <f t="shared" si="116"/>
        <v>3.7</v>
      </c>
      <c r="H903" s="5">
        <v>90</v>
      </c>
      <c r="I903" s="5">
        <v>72</v>
      </c>
      <c r="J903" s="5"/>
      <c r="K903" s="5"/>
      <c r="L903" s="5"/>
      <c r="N903" s="3">
        <v>30</v>
      </c>
      <c r="O903" s="3">
        <v>30</v>
      </c>
    </row>
    <row r="904" spans="1:16" ht="15.75" hidden="1" x14ac:dyDescent="0.25">
      <c r="A904" s="48">
        <v>903</v>
      </c>
      <c r="B904" s="49" t="s">
        <v>1870</v>
      </c>
      <c r="C904" s="49" t="s">
        <v>1871</v>
      </c>
      <c r="D904" s="53" t="s">
        <v>47</v>
      </c>
      <c r="E904" s="53" t="s">
        <v>48</v>
      </c>
      <c r="F904" s="45">
        <f t="shared" si="120"/>
        <v>90</v>
      </c>
      <c r="G904" s="58">
        <f t="shared" si="116"/>
        <v>1.5</v>
      </c>
      <c r="H904" s="5"/>
      <c r="I904" s="5"/>
      <c r="J904" s="5"/>
      <c r="K904" s="5"/>
      <c r="L904" s="5"/>
      <c r="N904" s="3">
        <v>30</v>
      </c>
      <c r="O904" s="3">
        <v>30</v>
      </c>
      <c r="P904" s="3">
        <v>30</v>
      </c>
    </row>
    <row r="905" spans="1:16" ht="15.75" hidden="1" x14ac:dyDescent="0.25">
      <c r="A905" s="48">
        <v>904</v>
      </c>
      <c r="B905" s="49" t="s">
        <v>1872</v>
      </c>
      <c r="C905" s="49" t="s">
        <v>1873</v>
      </c>
      <c r="D905" s="53" t="s">
        <v>47</v>
      </c>
      <c r="E905" s="53" t="s">
        <v>48</v>
      </c>
      <c r="F905" s="45">
        <f t="shared" si="120"/>
        <v>90</v>
      </c>
      <c r="G905" s="58">
        <f t="shared" si="116"/>
        <v>1.5</v>
      </c>
      <c r="H905" s="5"/>
      <c r="I905" s="5"/>
      <c r="J905" s="5"/>
      <c r="K905" s="5"/>
      <c r="L905" s="5"/>
      <c r="N905" s="3">
        <v>30</v>
      </c>
      <c r="O905" s="3">
        <v>30</v>
      </c>
      <c r="P905" s="3">
        <v>30</v>
      </c>
    </row>
    <row r="906" spans="1:16" ht="15.75" hidden="1" x14ac:dyDescent="0.25">
      <c r="A906" s="48">
        <v>905</v>
      </c>
      <c r="B906" s="49" t="s">
        <v>1874</v>
      </c>
      <c r="C906" s="49" t="s">
        <v>1875</v>
      </c>
      <c r="D906" s="53" t="s">
        <v>47</v>
      </c>
      <c r="E906" s="53" t="s">
        <v>48</v>
      </c>
      <c r="F906" s="45">
        <f t="shared" si="120"/>
        <v>353</v>
      </c>
      <c r="G906" s="58">
        <f t="shared" si="116"/>
        <v>5.8833333333333337</v>
      </c>
      <c r="H906" s="5">
        <v>90</v>
      </c>
      <c r="I906" s="5">
        <v>83</v>
      </c>
      <c r="J906" s="5"/>
      <c r="K906" s="5">
        <v>90</v>
      </c>
      <c r="L906" s="5"/>
      <c r="M906" s="3">
        <v>30</v>
      </c>
      <c r="O906" s="3">
        <v>30</v>
      </c>
      <c r="P906" s="3">
        <v>30</v>
      </c>
    </row>
    <row r="907" spans="1:16" ht="15.75" hidden="1" x14ac:dyDescent="0.25">
      <c r="A907" s="48">
        <v>906</v>
      </c>
      <c r="B907" s="49" t="s">
        <v>1876</v>
      </c>
      <c r="C907" s="49" t="s">
        <v>1877</v>
      </c>
      <c r="D907" s="53" t="s">
        <v>47</v>
      </c>
      <c r="E907" s="53" t="s">
        <v>105</v>
      </c>
      <c r="F907" s="45">
        <f t="shared" si="120"/>
        <v>0</v>
      </c>
      <c r="G907" s="58">
        <f t="shared" si="116"/>
        <v>0</v>
      </c>
      <c r="H907" s="5"/>
      <c r="I907" s="5"/>
      <c r="J907" s="5"/>
      <c r="K907" s="5"/>
      <c r="L907" s="5"/>
    </row>
    <row r="908" spans="1:16" ht="15.75" hidden="1" x14ac:dyDescent="0.25">
      <c r="A908" s="48">
        <v>907</v>
      </c>
      <c r="B908" s="49" t="s">
        <v>1878</v>
      </c>
      <c r="C908" s="49" t="s">
        <v>1879</v>
      </c>
      <c r="D908" s="53" t="s">
        <v>47</v>
      </c>
      <c r="E908" s="53" t="s">
        <v>205</v>
      </c>
      <c r="F908" s="45">
        <f t="shared" si="120"/>
        <v>0</v>
      </c>
      <c r="G908" s="58">
        <f t="shared" si="116"/>
        <v>0</v>
      </c>
      <c r="H908" s="5"/>
      <c r="I908" s="5"/>
      <c r="J908" s="5"/>
      <c r="K908" s="5"/>
      <c r="L908" s="5"/>
    </row>
    <row r="909" spans="1:16" ht="15.75" hidden="1" x14ac:dyDescent="0.25">
      <c r="A909" s="48">
        <v>908</v>
      </c>
      <c r="B909" s="49" t="s">
        <v>1880</v>
      </c>
      <c r="C909" s="49" t="s">
        <v>1881</v>
      </c>
      <c r="D909" s="53" t="s">
        <v>47</v>
      </c>
      <c r="E909" s="53" t="s">
        <v>86</v>
      </c>
      <c r="F909" s="45">
        <f t="shared" si="120"/>
        <v>0</v>
      </c>
      <c r="G909" s="58">
        <f t="shared" si="116"/>
        <v>0</v>
      </c>
      <c r="H909" s="5"/>
      <c r="I909" s="5"/>
      <c r="J909" s="5"/>
      <c r="K909" s="5"/>
      <c r="L909" s="5"/>
    </row>
    <row r="910" spans="1:16" ht="15.75" hidden="1" x14ac:dyDescent="0.25">
      <c r="A910" s="48">
        <v>909</v>
      </c>
      <c r="B910" s="49" t="s">
        <v>1882</v>
      </c>
      <c r="C910" s="49" t="s">
        <v>1883</v>
      </c>
      <c r="D910" s="53" t="s">
        <v>47</v>
      </c>
      <c r="E910" s="53" t="s">
        <v>205</v>
      </c>
      <c r="F910" s="45">
        <f t="shared" si="120"/>
        <v>0</v>
      </c>
      <c r="G910" s="58">
        <f t="shared" si="116"/>
        <v>0</v>
      </c>
      <c r="H910" s="5"/>
      <c r="I910" s="5"/>
      <c r="J910" s="5"/>
      <c r="K910" s="5"/>
      <c r="L910" s="5"/>
    </row>
    <row r="911" spans="1:16" ht="15.75" hidden="1" x14ac:dyDescent="0.25">
      <c r="A911" s="48">
        <v>910</v>
      </c>
      <c r="B911" s="49" t="s">
        <v>1884</v>
      </c>
      <c r="C911" s="49" t="s">
        <v>1885</v>
      </c>
      <c r="D911" s="53" t="s">
        <v>47</v>
      </c>
      <c r="E911" s="53" t="s">
        <v>76</v>
      </c>
      <c r="F911" s="45">
        <f t="shared" si="120"/>
        <v>30</v>
      </c>
      <c r="G911" s="58">
        <f t="shared" si="116"/>
        <v>0.5</v>
      </c>
      <c r="H911" s="5"/>
      <c r="I911" s="5"/>
      <c r="J911" s="5"/>
      <c r="K911" s="5"/>
      <c r="L911" s="5"/>
      <c r="M911" s="3">
        <v>30</v>
      </c>
    </row>
    <row r="912" spans="1:16" ht="15.75" hidden="1" x14ac:dyDescent="0.25">
      <c r="A912" s="48">
        <v>911</v>
      </c>
      <c r="B912" s="49" t="s">
        <v>1886</v>
      </c>
      <c r="C912" s="49" t="s">
        <v>1887</v>
      </c>
      <c r="D912" s="53" t="s">
        <v>47</v>
      </c>
      <c r="E912" s="53" t="s">
        <v>86</v>
      </c>
      <c r="F912" s="45">
        <f t="shared" si="120"/>
        <v>97</v>
      </c>
      <c r="G912" s="58">
        <f t="shared" si="116"/>
        <v>1.6166666666666667</v>
      </c>
      <c r="H912" s="5"/>
      <c r="I912" s="5">
        <v>67</v>
      </c>
      <c r="J912" s="5"/>
      <c r="K912" s="5"/>
      <c r="L912" s="5"/>
      <c r="O912" s="3">
        <v>30</v>
      </c>
    </row>
    <row r="913" spans="1:16" ht="15.75" hidden="1" x14ac:dyDescent="0.25">
      <c r="A913" s="48">
        <v>912</v>
      </c>
      <c r="B913" s="49" t="s">
        <v>1888</v>
      </c>
      <c r="C913" s="49" t="s">
        <v>1889</v>
      </c>
      <c r="D913" s="53" t="s">
        <v>47</v>
      </c>
      <c r="E913" s="53" t="s">
        <v>79</v>
      </c>
      <c r="F913" s="45">
        <f t="shared" si="120"/>
        <v>0</v>
      </c>
      <c r="G913" s="58">
        <f t="shared" si="116"/>
        <v>0</v>
      </c>
      <c r="H913" s="5"/>
      <c r="I913" s="5"/>
      <c r="J913" s="5"/>
      <c r="K913" s="5"/>
      <c r="L913" s="5"/>
    </row>
    <row r="914" spans="1:16" ht="15.75" hidden="1" x14ac:dyDescent="0.25">
      <c r="A914" s="48">
        <v>913</v>
      </c>
      <c r="B914" s="49" t="s">
        <v>1890</v>
      </c>
      <c r="C914" s="49" t="s">
        <v>1891</v>
      </c>
      <c r="D914" s="53" t="s">
        <v>82</v>
      </c>
      <c r="E914" s="53" t="s">
        <v>83</v>
      </c>
      <c r="F914" s="45">
        <f t="shared" si="119"/>
        <v>0</v>
      </c>
      <c r="G914" s="58">
        <f t="shared" si="116"/>
        <v>0</v>
      </c>
      <c r="H914" s="5"/>
      <c r="I914" s="5"/>
      <c r="J914" s="5"/>
      <c r="K914" s="5"/>
      <c r="L914" s="5"/>
    </row>
    <row r="915" spans="1:16" ht="15.75" hidden="1" x14ac:dyDescent="0.25">
      <c r="A915" s="48">
        <v>914</v>
      </c>
      <c r="B915" s="49" t="s">
        <v>1892</v>
      </c>
      <c r="C915" s="49" t="s">
        <v>1893</v>
      </c>
      <c r="D915" s="53" t="s">
        <v>47</v>
      </c>
      <c r="E915" s="53" t="s">
        <v>51</v>
      </c>
      <c r="F915" s="45">
        <f t="shared" ref="F915:F917" si="121">SUM($H915:$P915)</f>
        <v>160</v>
      </c>
      <c r="G915" s="58">
        <f t="shared" si="116"/>
        <v>2.6666666666666665</v>
      </c>
      <c r="H915" s="5"/>
      <c r="I915" s="5">
        <v>40</v>
      </c>
      <c r="J915" s="5"/>
      <c r="K915" s="5"/>
      <c r="L915" s="5"/>
      <c r="M915" s="3">
        <v>30</v>
      </c>
      <c r="N915" s="3">
        <v>30</v>
      </c>
      <c r="O915" s="3">
        <v>30</v>
      </c>
      <c r="P915" s="3">
        <v>30</v>
      </c>
    </row>
    <row r="916" spans="1:16" ht="15.75" hidden="1" x14ac:dyDescent="0.25">
      <c r="A916" s="48">
        <v>915</v>
      </c>
      <c r="B916" s="49" t="s">
        <v>1894</v>
      </c>
      <c r="C916" s="49" t="s">
        <v>1895</v>
      </c>
      <c r="D916" s="53" t="s">
        <v>47</v>
      </c>
      <c r="E916" s="53" t="s">
        <v>105</v>
      </c>
      <c r="F916" s="45">
        <f t="shared" si="121"/>
        <v>0</v>
      </c>
      <c r="G916" s="58">
        <f t="shared" si="116"/>
        <v>0</v>
      </c>
      <c r="H916" s="5"/>
      <c r="I916" s="5"/>
      <c r="J916" s="5"/>
      <c r="K916" s="5"/>
      <c r="L916" s="5"/>
    </row>
    <row r="917" spans="1:16" ht="15.75" hidden="1" x14ac:dyDescent="0.25">
      <c r="A917" s="48">
        <v>916</v>
      </c>
      <c r="B917" s="49" t="s">
        <v>1896</v>
      </c>
      <c r="C917" s="49" t="s">
        <v>1897</v>
      </c>
      <c r="D917" s="53" t="s">
        <v>47</v>
      </c>
      <c r="E917" s="53" t="s">
        <v>48</v>
      </c>
      <c r="F917" s="45">
        <f t="shared" si="121"/>
        <v>0</v>
      </c>
      <c r="G917" s="58">
        <f t="shared" si="116"/>
        <v>0</v>
      </c>
      <c r="H917" s="5"/>
      <c r="I917" s="5"/>
      <c r="J917" s="5"/>
      <c r="K917" s="5"/>
      <c r="L917" s="5"/>
    </row>
    <row r="918" spans="1:16" ht="15.75" hidden="1" x14ac:dyDescent="0.25">
      <c r="A918" s="48">
        <v>917</v>
      </c>
      <c r="B918" s="49" t="s">
        <v>1898</v>
      </c>
      <c r="C918" s="49" t="s">
        <v>1899</v>
      </c>
      <c r="D918" s="53" t="s">
        <v>64</v>
      </c>
      <c r="E918" s="53" t="s">
        <v>186</v>
      </c>
      <c r="F918" s="45">
        <f t="shared" si="119"/>
        <v>90</v>
      </c>
      <c r="G918" s="58">
        <f t="shared" si="116"/>
        <v>1.5</v>
      </c>
      <c r="H918" s="5">
        <v>90</v>
      </c>
      <c r="I918" s="5"/>
      <c r="J918" s="5"/>
      <c r="K918" s="5"/>
      <c r="L918" s="5"/>
    </row>
    <row r="919" spans="1:16" ht="15.75" hidden="1" x14ac:dyDescent="0.25">
      <c r="A919" s="48">
        <v>918</v>
      </c>
      <c r="B919" s="49" t="s">
        <v>1900</v>
      </c>
      <c r="C919" s="49" t="s">
        <v>1901</v>
      </c>
      <c r="D919" s="53" t="s">
        <v>47</v>
      </c>
      <c r="E919" s="53" t="s">
        <v>205</v>
      </c>
      <c r="F919" s="45">
        <f t="shared" ref="F919:F926" si="122">SUM($H919:$P919)</f>
        <v>0</v>
      </c>
      <c r="G919" s="58">
        <f t="shared" si="116"/>
        <v>0</v>
      </c>
      <c r="H919" s="5"/>
      <c r="I919" s="5"/>
      <c r="J919" s="5"/>
      <c r="K919" s="5"/>
      <c r="L919" s="5"/>
    </row>
    <row r="920" spans="1:16" ht="15.75" hidden="1" x14ac:dyDescent="0.25">
      <c r="A920" s="48">
        <v>919</v>
      </c>
      <c r="B920" s="49" t="s">
        <v>1902</v>
      </c>
      <c r="C920" s="49" t="s">
        <v>1903</v>
      </c>
      <c r="D920" s="53" t="s">
        <v>47</v>
      </c>
      <c r="E920" s="53" t="s">
        <v>79</v>
      </c>
      <c r="F920" s="45">
        <f t="shared" si="122"/>
        <v>55</v>
      </c>
      <c r="G920" s="58">
        <f t="shared" si="116"/>
        <v>0.91666666666666663</v>
      </c>
      <c r="H920" s="5"/>
      <c r="I920" s="5">
        <v>55</v>
      </c>
      <c r="J920" s="5"/>
      <c r="K920" s="5"/>
      <c r="L920" s="5"/>
    </row>
    <row r="921" spans="1:16" ht="15.75" hidden="1" x14ac:dyDescent="0.25">
      <c r="A921" s="48">
        <v>920</v>
      </c>
      <c r="B921" s="49" t="s">
        <v>1904</v>
      </c>
      <c r="C921" s="49" t="s">
        <v>1905</v>
      </c>
      <c r="D921" s="53" t="s">
        <v>47</v>
      </c>
      <c r="E921" s="53" t="s">
        <v>116</v>
      </c>
      <c r="F921" s="45">
        <f t="shared" si="122"/>
        <v>60</v>
      </c>
      <c r="G921" s="58">
        <f t="shared" si="116"/>
        <v>1</v>
      </c>
      <c r="H921" s="5"/>
      <c r="I921" s="5"/>
      <c r="J921" s="5"/>
      <c r="K921" s="5"/>
      <c r="L921" s="5"/>
      <c r="O921" s="3">
        <v>30</v>
      </c>
      <c r="P921" s="3">
        <v>30</v>
      </c>
    </row>
    <row r="922" spans="1:16" ht="15.75" hidden="1" x14ac:dyDescent="0.25">
      <c r="A922" s="48">
        <v>921</v>
      </c>
      <c r="B922" s="49" t="s">
        <v>1906</v>
      </c>
      <c r="C922" s="49" t="s">
        <v>1907</v>
      </c>
      <c r="D922" s="53" t="s">
        <v>47</v>
      </c>
      <c r="E922" s="53" t="s">
        <v>76</v>
      </c>
      <c r="F922" s="45">
        <f t="shared" si="122"/>
        <v>137</v>
      </c>
      <c r="G922" s="58">
        <f t="shared" si="116"/>
        <v>2.2833333333333332</v>
      </c>
      <c r="H922" s="5"/>
      <c r="I922" s="5">
        <v>77</v>
      </c>
      <c r="J922" s="5"/>
      <c r="K922" s="5"/>
      <c r="L922" s="5"/>
      <c r="N922" s="3">
        <v>30</v>
      </c>
      <c r="P922" s="3">
        <v>30</v>
      </c>
    </row>
    <row r="923" spans="1:16" ht="15.75" hidden="1" x14ac:dyDescent="0.25">
      <c r="A923" s="48">
        <v>922</v>
      </c>
      <c r="B923" s="49" t="s">
        <v>1908</v>
      </c>
      <c r="C923" s="49" t="s">
        <v>1909</v>
      </c>
      <c r="D923" s="53" t="s">
        <v>47</v>
      </c>
      <c r="E923" s="53" t="s">
        <v>86</v>
      </c>
      <c r="F923" s="45">
        <f t="shared" si="122"/>
        <v>0</v>
      </c>
      <c r="G923" s="58">
        <f t="shared" si="116"/>
        <v>0</v>
      </c>
      <c r="H923" s="5"/>
      <c r="I923" s="5"/>
      <c r="J923" s="5"/>
      <c r="K923" s="5"/>
      <c r="L923" s="5"/>
    </row>
    <row r="924" spans="1:16" ht="15.75" hidden="1" x14ac:dyDescent="0.25">
      <c r="A924" s="48">
        <v>923</v>
      </c>
      <c r="B924" s="49" t="s">
        <v>1910</v>
      </c>
      <c r="C924" s="49" t="s">
        <v>1911</v>
      </c>
      <c r="D924" s="53" t="s">
        <v>47</v>
      </c>
      <c r="E924" s="53" t="s">
        <v>105</v>
      </c>
      <c r="F924" s="45">
        <f t="shared" si="122"/>
        <v>0</v>
      </c>
      <c r="G924" s="58">
        <f t="shared" si="116"/>
        <v>0</v>
      </c>
      <c r="H924" s="5"/>
      <c r="I924" s="5"/>
      <c r="J924" s="5"/>
      <c r="K924" s="5"/>
      <c r="L924" s="5"/>
    </row>
    <row r="925" spans="1:16" ht="15.75" hidden="1" x14ac:dyDescent="0.25">
      <c r="A925" s="48">
        <v>924</v>
      </c>
      <c r="B925" s="49" t="s">
        <v>1912</v>
      </c>
      <c r="C925" s="49" t="s">
        <v>1913</v>
      </c>
      <c r="D925" s="53" t="s">
        <v>47</v>
      </c>
      <c r="E925" s="53" t="s">
        <v>48</v>
      </c>
      <c r="F925" s="45">
        <f t="shared" si="122"/>
        <v>376</v>
      </c>
      <c r="G925" s="58">
        <f t="shared" si="116"/>
        <v>6.2666666666666666</v>
      </c>
      <c r="H925" s="5">
        <v>90</v>
      </c>
      <c r="I925" s="5">
        <v>76</v>
      </c>
      <c r="J925" s="5">
        <v>60</v>
      </c>
      <c r="K925" s="5">
        <v>90</v>
      </c>
      <c r="L925" s="5">
        <v>60</v>
      </c>
    </row>
    <row r="926" spans="1:16" ht="15.75" hidden="1" x14ac:dyDescent="0.25">
      <c r="A926" s="48">
        <v>925</v>
      </c>
      <c r="B926" s="49" t="s">
        <v>1914</v>
      </c>
      <c r="C926" s="49" t="s">
        <v>1915</v>
      </c>
      <c r="D926" s="53" t="s">
        <v>47</v>
      </c>
      <c r="E926" s="53" t="s">
        <v>105</v>
      </c>
      <c r="F926" s="45">
        <f t="shared" si="122"/>
        <v>0</v>
      </c>
      <c r="G926" s="58">
        <f t="shared" si="116"/>
        <v>0</v>
      </c>
      <c r="H926" s="5"/>
      <c r="I926" s="5"/>
      <c r="J926" s="5"/>
      <c r="K926" s="5"/>
      <c r="L926" s="5"/>
    </row>
    <row r="927" spans="1:16" ht="15.75" hidden="1" x14ac:dyDescent="0.25">
      <c r="A927" s="48">
        <v>926</v>
      </c>
      <c r="B927" s="49" t="s">
        <v>1916</v>
      </c>
      <c r="C927" s="49" t="s">
        <v>1917</v>
      </c>
      <c r="D927" s="53" t="s">
        <v>64</v>
      </c>
      <c r="E927" s="53" t="s">
        <v>65</v>
      </c>
      <c r="F927" s="45">
        <f t="shared" si="119"/>
        <v>0</v>
      </c>
      <c r="G927" s="58">
        <f t="shared" si="116"/>
        <v>0</v>
      </c>
      <c r="H927" s="5"/>
      <c r="I927" s="5"/>
      <c r="J927" s="5"/>
      <c r="K927" s="5"/>
      <c r="L927" s="5"/>
    </row>
    <row r="928" spans="1:16" ht="15.75" hidden="1" x14ac:dyDescent="0.25">
      <c r="A928" s="48">
        <v>927</v>
      </c>
      <c r="B928" s="49" t="s">
        <v>1918</v>
      </c>
      <c r="C928" s="49" t="s">
        <v>1919</v>
      </c>
      <c r="D928" s="53" t="s">
        <v>47</v>
      </c>
      <c r="E928" s="53" t="s">
        <v>51</v>
      </c>
      <c r="F928" s="45">
        <f>SUM($H928:$P928)</f>
        <v>0</v>
      </c>
      <c r="G928" s="58">
        <f t="shared" si="116"/>
        <v>0</v>
      </c>
      <c r="H928" s="5"/>
      <c r="I928" s="5"/>
      <c r="J928" s="5"/>
      <c r="K928" s="5"/>
      <c r="L928" s="5"/>
    </row>
    <row r="929" spans="1:16" ht="15.75" hidden="1" x14ac:dyDescent="0.25">
      <c r="A929" s="48">
        <v>928</v>
      </c>
      <c r="B929" s="49" t="s">
        <v>1920</v>
      </c>
      <c r="C929" s="49" t="s">
        <v>1921</v>
      </c>
      <c r="D929" s="53" t="s">
        <v>64</v>
      </c>
      <c r="E929" s="53" t="s">
        <v>65</v>
      </c>
      <c r="F929" s="45">
        <f t="shared" si="119"/>
        <v>0</v>
      </c>
      <c r="G929" s="58">
        <f t="shared" si="116"/>
        <v>0</v>
      </c>
      <c r="H929" s="5"/>
      <c r="I929" s="5"/>
      <c r="J929" s="5"/>
      <c r="K929" s="5"/>
      <c r="L929" s="5"/>
    </row>
    <row r="930" spans="1:16" ht="15.75" hidden="1" x14ac:dyDescent="0.25">
      <c r="A930" s="48">
        <v>929</v>
      </c>
      <c r="B930" s="49" t="s">
        <v>1922</v>
      </c>
      <c r="C930" s="49" t="s">
        <v>1923</v>
      </c>
      <c r="D930" s="53" t="s">
        <v>47</v>
      </c>
      <c r="E930" s="53" t="s">
        <v>56</v>
      </c>
      <c r="F930" s="45">
        <f t="shared" ref="F930:F935" si="123">SUM($H930:$P930)</f>
        <v>210</v>
      </c>
      <c r="G930" s="58">
        <f t="shared" si="116"/>
        <v>3.5</v>
      </c>
      <c r="H930" s="5">
        <v>90</v>
      </c>
      <c r="I930" s="5"/>
      <c r="J930" s="5">
        <v>60</v>
      </c>
      <c r="K930" s="5"/>
      <c r="L930" s="5"/>
      <c r="M930" s="3">
        <v>30</v>
      </c>
      <c r="N930" s="3">
        <v>30</v>
      </c>
    </row>
    <row r="931" spans="1:16" ht="15.75" hidden="1" x14ac:dyDescent="0.25">
      <c r="A931" s="48">
        <v>930</v>
      </c>
      <c r="B931" s="49" t="s">
        <v>1924</v>
      </c>
      <c r="C931" s="49" t="s">
        <v>1925</v>
      </c>
      <c r="D931" s="53" t="s">
        <v>47</v>
      </c>
      <c r="E931" s="53" t="s">
        <v>56</v>
      </c>
      <c r="F931" s="45">
        <f t="shared" si="123"/>
        <v>0</v>
      </c>
      <c r="G931" s="58">
        <f t="shared" si="116"/>
        <v>0</v>
      </c>
      <c r="H931" s="5"/>
      <c r="I931" s="5"/>
      <c r="J931" s="5"/>
      <c r="K931" s="5"/>
      <c r="L931" s="5"/>
    </row>
    <row r="932" spans="1:16" ht="15.75" hidden="1" x14ac:dyDescent="0.25">
      <c r="A932" s="48">
        <v>931</v>
      </c>
      <c r="B932" s="49" t="s">
        <v>1926</v>
      </c>
      <c r="C932" s="49" t="s">
        <v>1927</v>
      </c>
      <c r="D932" s="53" t="s">
        <v>47</v>
      </c>
      <c r="E932" s="53" t="s">
        <v>105</v>
      </c>
      <c r="F932" s="45">
        <f t="shared" si="123"/>
        <v>0</v>
      </c>
      <c r="G932" s="58">
        <f t="shared" si="116"/>
        <v>0</v>
      </c>
      <c r="H932" s="5"/>
      <c r="I932" s="5"/>
      <c r="J932" s="5"/>
      <c r="K932" s="5"/>
      <c r="L932" s="5"/>
    </row>
    <row r="933" spans="1:16" ht="15.75" hidden="1" x14ac:dyDescent="0.25">
      <c r="A933" s="48">
        <v>932</v>
      </c>
      <c r="B933" s="49" t="s">
        <v>1928</v>
      </c>
      <c r="C933" s="49" t="s">
        <v>1929</v>
      </c>
      <c r="D933" s="53" t="s">
        <v>47</v>
      </c>
      <c r="E933" s="53" t="s">
        <v>51</v>
      </c>
      <c r="F933" s="45">
        <f t="shared" si="123"/>
        <v>0</v>
      </c>
      <c r="G933" s="58">
        <f t="shared" ref="G933:G935" si="124">F933/60</f>
        <v>0</v>
      </c>
      <c r="H933" s="5"/>
      <c r="I933" s="5"/>
      <c r="J933" s="5"/>
      <c r="K933" s="5"/>
      <c r="L933" s="5"/>
    </row>
    <row r="934" spans="1:16" ht="15.75" hidden="1" x14ac:dyDescent="0.25">
      <c r="A934" s="48">
        <v>933</v>
      </c>
      <c r="B934" s="49" t="s">
        <v>1930</v>
      </c>
      <c r="C934" s="49" t="s">
        <v>1931</v>
      </c>
      <c r="D934" s="53" t="s">
        <v>47</v>
      </c>
      <c r="E934" s="53" t="s">
        <v>48</v>
      </c>
      <c r="F934" s="45">
        <f t="shared" si="123"/>
        <v>0</v>
      </c>
      <c r="G934" s="58">
        <f t="shared" si="124"/>
        <v>0</v>
      </c>
      <c r="H934" s="5"/>
      <c r="I934" s="5"/>
      <c r="J934" s="5"/>
      <c r="K934" s="5"/>
      <c r="L934" s="5"/>
    </row>
    <row r="935" spans="1:16" ht="15.75" hidden="1" x14ac:dyDescent="0.25">
      <c r="A935" s="48">
        <v>934</v>
      </c>
      <c r="B935" s="49" t="s">
        <v>1932</v>
      </c>
      <c r="C935" s="49" t="s">
        <v>1933</v>
      </c>
      <c r="D935" s="53" t="s">
        <v>47</v>
      </c>
      <c r="E935" s="53" t="s">
        <v>51</v>
      </c>
      <c r="F935" s="45">
        <f t="shared" si="123"/>
        <v>0</v>
      </c>
      <c r="G935" s="58">
        <f t="shared" si="124"/>
        <v>0</v>
      </c>
      <c r="H935" s="5"/>
      <c r="I935" s="5"/>
      <c r="J935" s="5"/>
      <c r="K935" s="5"/>
      <c r="L935" s="5"/>
    </row>
    <row r="936" spans="1:16" ht="15.75" hidden="1" x14ac:dyDescent="0.25">
      <c r="A936" s="48">
        <v>935</v>
      </c>
      <c r="B936" s="49" t="s">
        <v>1934</v>
      </c>
      <c r="C936" s="49" t="s">
        <v>1935</v>
      </c>
      <c r="D936" s="53" t="s">
        <v>123</v>
      </c>
      <c r="E936" s="53" t="s">
        <v>123</v>
      </c>
      <c r="F936" s="45">
        <f t="shared" si="119"/>
        <v>0</v>
      </c>
      <c r="G936" s="57"/>
      <c r="H936" s="5"/>
      <c r="I936" s="5"/>
      <c r="J936" s="5"/>
      <c r="K936" s="5"/>
      <c r="L936" s="5"/>
      <c r="M936"/>
      <c r="N936"/>
      <c r="O936"/>
      <c r="P936"/>
    </row>
    <row r="937" spans="1:16" ht="15.75" hidden="1" x14ac:dyDescent="0.25">
      <c r="A937" s="48">
        <v>936</v>
      </c>
      <c r="B937" s="49" t="s">
        <v>1936</v>
      </c>
      <c r="C937" s="49" t="s">
        <v>1937</v>
      </c>
      <c r="D937" s="53" t="s">
        <v>82</v>
      </c>
      <c r="E937" s="53" t="s">
        <v>83</v>
      </c>
      <c r="F937" s="45">
        <f t="shared" si="119"/>
        <v>0</v>
      </c>
      <c r="G937" s="58">
        <f t="shared" ref="G937:G1000" si="125">F937/60</f>
        <v>0</v>
      </c>
      <c r="H937" s="5"/>
      <c r="I937" s="5"/>
      <c r="J937" s="5"/>
      <c r="K937" s="5"/>
      <c r="L937" s="5"/>
    </row>
    <row r="938" spans="1:16" ht="15.75" hidden="1" x14ac:dyDescent="0.25">
      <c r="A938" s="48">
        <v>937</v>
      </c>
      <c r="B938" s="49" t="s">
        <v>1938</v>
      </c>
      <c r="C938" s="49" t="s">
        <v>1939</v>
      </c>
      <c r="D938" s="53" t="s">
        <v>47</v>
      </c>
      <c r="E938" s="53" t="s">
        <v>48</v>
      </c>
      <c r="F938" s="45">
        <f t="shared" ref="F938:F941" si="126">SUM($H938:$P938)</f>
        <v>0</v>
      </c>
      <c r="G938" s="58">
        <f t="shared" si="125"/>
        <v>0</v>
      </c>
      <c r="H938" s="5"/>
      <c r="I938" s="5"/>
      <c r="J938" s="5"/>
      <c r="K938" s="5"/>
      <c r="L938" s="5"/>
    </row>
    <row r="939" spans="1:16" ht="15.75" hidden="1" x14ac:dyDescent="0.25">
      <c r="A939" s="48">
        <v>938</v>
      </c>
      <c r="B939" s="49" t="s">
        <v>1940</v>
      </c>
      <c r="C939" s="49" t="s">
        <v>1941</v>
      </c>
      <c r="D939" s="53" t="s">
        <v>47</v>
      </c>
      <c r="E939" s="53" t="s">
        <v>48</v>
      </c>
      <c r="F939" s="45">
        <f t="shared" si="126"/>
        <v>391</v>
      </c>
      <c r="G939" s="58">
        <f t="shared" si="125"/>
        <v>6.5166666666666666</v>
      </c>
      <c r="H939" s="5">
        <v>90</v>
      </c>
      <c r="I939" s="5">
        <v>61</v>
      </c>
      <c r="J939" s="5">
        <v>60</v>
      </c>
      <c r="K939" s="5">
        <v>90</v>
      </c>
      <c r="L939" s="5"/>
      <c r="M939" s="3">
        <v>30</v>
      </c>
      <c r="N939" s="3">
        <v>30</v>
      </c>
      <c r="P939" s="3">
        <v>30</v>
      </c>
    </row>
    <row r="940" spans="1:16" ht="15.75" hidden="1" x14ac:dyDescent="0.25">
      <c r="A940" s="48">
        <v>939</v>
      </c>
      <c r="B940" s="49" t="s">
        <v>1942</v>
      </c>
      <c r="C940" s="49" t="s">
        <v>1943</v>
      </c>
      <c r="D940" s="53" t="s">
        <v>47</v>
      </c>
      <c r="E940" s="53" t="s">
        <v>105</v>
      </c>
      <c r="F940" s="45">
        <f t="shared" si="126"/>
        <v>0</v>
      </c>
      <c r="G940" s="58">
        <f t="shared" si="125"/>
        <v>0</v>
      </c>
      <c r="H940" s="5"/>
      <c r="I940" s="5"/>
      <c r="J940" s="5"/>
      <c r="K940" s="5"/>
      <c r="L940" s="5"/>
    </row>
    <row r="941" spans="1:16" ht="15.75" hidden="1" x14ac:dyDescent="0.25">
      <c r="A941" s="48">
        <v>940</v>
      </c>
      <c r="B941" s="49" t="s">
        <v>1944</v>
      </c>
      <c r="C941" s="49" t="s">
        <v>1945</v>
      </c>
      <c r="D941" s="53" t="s">
        <v>47</v>
      </c>
      <c r="E941" s="53" t="s">
        <v>48</v>
      </c>
      <c r="F941" s="45">
        <f t="shared" si="126"/>
        <v>150</v>
      </c>
      <c r="G941" s="58">
        <f t="shared" si="125"/>
        <v>2.5</v>
      </c>
      <c r="H941" s="5">
        <v>90</v>
      </c>
      <c r="I941" s="5"/>
      <c r="J941" s="5"/>
      <c r="K941" s="5"/>
      <c r="L941" s="5"/>
      <c r="M941" s="3">
        <v>30</v>
      </c>
      <c r="P941" s="3">
        <v>30</v>
      </c>
    </row>
    <row r="942" spans="1:16" ht="15.75" hidden="1" x14ac:dyDescent="0.25">
      <c r="A942" s="48">
        <v>941</v>
      </c>
      <c r="B942" s="49" t="s">
        <v>1946</v>
      </c>
      <c r="C942" s="49" t="s">
        <v>1947</v>
      </c>
      <c r="D942" s="53" t="s">
        <v>64</v>
      </c>
      <c r="E942" s="53" t="s">
        <v>65</v>
      </c>
      <c r="F942" s="45">
        <f t="shared" si="119"/>
        <v>0</v>
      </c>
      <c r="G942" s="58">
        <f t="shared" si="125"/>
        <v>0</v>
      </c>
      <c r="H942" s="5"/>
      <c r="I942" s="5"/>
      <c r="J942" s="5"/>
      <c r="K942" s="5"/>
      <c r="L942" s="5"/>
    </row>
    <row r="943" spans="1:16" ht="15.75" hidden="1" x14ac:dyDescent="0.25">
      <c r="A943" s="48">
        <v>942</v>
      </c>
      <c r="B943" s="49" t="s">
        <v>1948</v>
      </c>
      <c r="C943" s="49" t="s">
        <v>1949</v>
      </c>
      <c r="D943" s="53" t="s">
        <v>47</v>
      </c>
      <c r="E943" s="53" t="s">
        <v>48</v>
      </c>
      <c r="F943" s="45">
        <f t="shared" ref="F943:F947" si="127">SUM($H943:$P943)</f>
        <v>150</v>
      </c>
      <c r="G943" s="58">
        <f t="shared" si="125"/>
        <v>2.5</v>
      </c>
      <c r="H943" s="5">
        <v>90</v>
      </c>
      <c r="I943" s="5"/>
      <c r="J943" s="5"/>
      <c r="K943" s="5"/>
      <c r="L943" s="5">
        <v>60</v>
      </c>
    </row>
    <row r="944" spans="1:16" ht="15.75" hidden="1" x14ac:dyDescent="0.25">
      <c r="A944" s="48">
        <v>943</v>
      </c>
      <c r="B944" s="49" t="s">
        <v>1950</v>
      </c>
      <c r="C944" s="49" t="s">
        <v>1951</v>
      </c>
      <c r="D944" s="53" t="s">
        <v>47</v>
      </c>
      <c r="E944" s="53" t="s">
        <v>76</v>
      </c>
      <c r="F944" s="45">
        <f t="shared" si="127"/>
        <v>0</v>
      </c>
      <c r="G944" s="58">
        <f t="shared" si="125"/>
        <v>0</v>
      </c>
      <c r="H944" s="5"/>
      <c r="I944" s="5"/>
      <c r="J944" s="5"/>
      <c r="K944" s="5"/>
      <c r="L944" s="5"/>
    </row>
    <row r="945" spans="1:16" ht="15.75" hidden="1" x14ac:dyDescent="0.25">
      <c r="A945" s="48">
        <v>944</v>
      </c>
      <c r="B945" s="49" t="s">
        <v>1952</v>
      </c>
      <c r="C945" s="49" t="s">
        <v>1953</v>
      </c>
      <c r="D945" s="53" t="s">
        <v>47</v>
      </c>
      <c r="E945" s="53" t="s">
        <v>48</v>
      </c>
      <c r="F945" s="45">
        <f t="shared" si="127"/>
        <v>0</v>
      </c>
      <c r="G945" s="58">
        <f t="shared" si="125"/>
        <v>0</v>
      </c>
      <c r="H945" s="5"/>
      <c r="I945" s="5"/>
      <c r="J945" s="5"/>
      <c r="K945" s="5"/>
      <c r="L945" s="5"/>
    </row>
    <row r="946" spans="1:16" ht="15.75" hidden="1" x14ac:dyDescent="0.25">
      <c r="A946" s="48">
        <v>945</v>
      </c>
      <c r="B946" s="49" t="s">
        <v>1954</v>
      </c>
      <c r="C946" s="49" t="s">
        <v>1955</v>
      </c>
      <c r="D946" s="53" t="s">
        <v>47</v>
      </c>
      <c r="E946" s="53" t="s">
        <v>79</v>
      </c>
      <c r="F946" s="45">
        <f t="shared" si="127"/>
        <v>0</v>
      </c>
      <c r="G946" s="58">
        <f t="shared" si="125"/>
        <v>0</v>
      </c>
      <c r="H946" s="5"/>
      <c r="I946" s="5"/>
      <c r="J946" s="5"/>
      <c r="K946" s="5"/>
      <c r="L946" s="5"/>
    </row>
    <row r="947" spans="1:16" ht="15.75" hidden="1" x14ac:dyDescent="0.25">
      <c r="A947" s="48">
        <v>946</v>
      </c>
      <c r="B947" s="49" t="s">
        <v>1956</v>
      </c>
      <c r="C947" s="49" t="s">
        <v>1957</v>
      </c>
      <c r="D947" s="53" t="s">
        <v>47</v>
      </c>
      <c r="E947" s="53" t="s">
        <v>48</v>
      </c>
      <c r="F947" s="45">
        <f t="shared" si="127"/>
        <v>210</v>
      </c>
      <c r="G947" s="58">
        <f t="shared" si="125"/>
        <v>3.5</v>
      </c>
      <c r="H947" s="5">
        <v>90</v>
      </c>
      <c r="I947" s="5"/>
      <c r="J947" s="5"/>
      <c r="K947" s="5">
        <v>90</v>
      </c>
      <c r="L947" s="5"/>
      <c r="P947" s="3">
        <v>30</v>
      </c>
    </row>
    <row r="948" spans="1:16" ht="15.75" hidden="1" x14ac:dyDescent="0.25">
      <c r="A948" s="48">
        <v>947</v>
      </c>
      <c r="B948" s="49" t="s">
        <v>1958</v>
      </c>
      <c r="C948" s="49" t="s">
        <v>1959</v>
      </c>
      <c r="D948" s="53" t="s">
        <v>64</v>
      </c>
      <c r="E948" s="53" t="s">
        <v>186</v>
      </c>
      <c r="F948" s="45">
        <f t="shared" si="119"/>
        <v>0</v>
      </c>
      <c r="G948" s="58">
        <f t="shared" si="125"/>
        <v>0</v>
      </c>
      <c r="H948" s="5"/>
      <c r="I948" s="5"/>
      <c r="J948" s="5"/>
      <c r="K948" s="5"/>
      <c r="L948" s="5"/>
    </row>
    <row r="949" spans="1:16" ht="15.75" hidden="1" x14ac:dyDescent="0.25">
      <c r="A949" s="48">
        <v>948</v>
      </c>
      <c r="B949" s="49" t="s">
        <v>1960</v>
      </c>
      <c r="C949" s="49" t="s">
        <v>1961</v>
      </c>
      <c r="D949" s="53" t="s">
        <v>47</v>
      </c>
      <c r="E949" s="53" t="s">
        <v>61</v>
      </c>
      <c r="F949" s="45">
        <f t="shared" ref="F949:F952" si="128">SUM($H949:$P949)</f>
        <v>257</v>
      </c>
      <c r="G949" s="58">
        <f t="shared" si="125"/>
        <v>4.2833333333333332</v>
      </c>
      <c r="H949" s="5">
        <v>90</v>
      </c>
      <c r="I949" s="5">
        <v>77</v>
      </c>
      <c r="J949" s="5"/>
      <c r="K949" s="5">
        <v>90</v>
      </c>
      <c r="L949" s="5"/>
    </row>
    <row r="950" spans="1:16" ht="15.75" hidden="1" x14ac:dyDescent="0.25">
      <c r="A950" s="48">
        <v>949</v>
      </c>
      <c r="B950" s="49" t="s">
        <v>1962</v>
      </c>
      <c r="C950" s="49" t="s">
        <v>1963</v>
      </c>
      <c r="D950" s="53" t="s">
        <v>47</v>
      </c>
      <c r="E950" s="53" t="s">
        <v>76</v>
      </c>
      <c r="F950" s="45">
        <f t="shared" si="128"/>
        <v>120</v>
      </c>
      <c r="G950" s="58">
        <f t="shared" si="125"/>
        <v>2</v>
      </c>
      <c r="H950" s="5"/>
      <c r="I950" s="5"/>
      <c r="J950" s="5"/>
      <c r="K950" s="5">
        <v>90</v>
      </c>
      <c r="L950" s="5"/>
      <c r="M950" s="3">
        <v>30</v>
      </c>
    </row>
    <row r="951" spans="1:16" ht="15.75" hidden="1" x14ac:dyDescent="0.25">
      <c r="A951" s="48">
        <v>950</v>
      </c>
      <c r="B951" s="49" t="s">
        <v>1964</v>
      </c>
      <c r="C951" s="49" t="s">
        <v>1965</v>
      </c>
      <c r="D951" s="53" t="s">
        <v>47</v>
      </c>
      <c r="E951" s="53" t="s">
        <v>48</v>
      </c>
      <c r="F951" s="45">
        <f t="shared" si="128"/>
        <v>150</v>
      </c>
      <c r="G951" s="58">
        <f t="shared" si="125"/>
        <v>2.5</v>
      </c>
      <c r="H951" s="5">
        <v>90</v>
      </c>
      <c r="I951" s="5"/>
      <c r="J951" s="5"/>
      <c r="K951" s="5"/>
      <c r="L951" s="5"/>
      <c r="O951" s="3">
        <v>30</v>
      </c>
      <c r="P951" s="3">
        <v>30</v>
      </c>
    </row>
    <row r="952" spans="1:16" ht="15.75" hidden="1" x14ac:dyDescent="0.25">
      <c r="A952" s="48">
        <v>951</v>
      </c>
      <c r="B952" s="49" t="s">
        <v>1966</v>
      </c>
      <c r="C952" s="49" t="s">
        <v>1967</v>
      </c>
      <c r="D952" s="53" t="s">
        <v>47</v>
      </c>
      <c r="E952" s="53" t="s">
        <v>48</v>
      </c>
      <c r="F952" s="45">
        <f t="shared" si="128"/>
        <v>30</v>
      </c>
      <c r="G952" s="58">
        <f t="shared" si="125"/>
        <v>0.5</v>
      </c>
      <c r="H952" s="5"/>
      <c r="I952" s="5"/>
      <c r="J952" s="5"/>
      <c r="K952" s="5"/>
      <c r="L952" s="5"/>
      <c r="P952" s="3">
        <v>30</v>
      </c>
    </row>
    <row r="953" spans="1:16" ht="15.75" hidden="1" x14ac:dyDescent="0.25">
      <c r="A953" s="48">
        <v>952</v>
      </c>
      <c r="B953" s="49" t="s">
        <v>1968</v>
      </c>
      <c r="C953" s="49" t="s">
        <v>1969</v>
      </c>
      <c r="D953" s="53" t="s">
        <v>64</v>
      </c>
      <c r="E953" s="53" t="s">
        <v>65</v>
      </c>
      <c r="F953" s="45">
        <f t="shared" si="119"/>
        <v>0</v>
      </c>
      <c r="G953" s="58">
        <f t="shared" si="125"/>
        <v>0</v>
      </c>
      <c r="H953" s="5"/>
      <c r="I953" s="5"/>
      <c r="J953" s="5"/>
      <c r="K953" s="5"/>
      <c r="L953" s="5"/>
    </row>
    <row r="954" spans="1:16" ht="15.75" hidden="1" x14ac:dyDescent="0.25">
      <c r="A954" s="48">
        <v>953</v>
      </c>
      <c r="B954" s="49" t="s">
        <v>1970</v>
      </c>
      <c r="C954" s="49" t="s">
        <v>1971</v>
      </c>
      <c r="D954" s="53" t="s">
        <v>47</v>
      </c>
      <c r="E954" s="53" t="s">
        <v>48</v>
      </c>
      <c r="F954" s="45">
        <f>SUM($H954:$P954)</f>
        <v>300</v>
      </c>
      <c r="G954" s="58">
        <f t="shared" si="125"/>
        <v>5</v>
      </c>
      <c r="H954" s="5">
        <v>90</v>
      </c>
      <c r="I954" s="5"/>
      <c r="J954" s="5">
        <v>60</v>
      </c>
      <c r="K954" s="5">
        <v>90</v>
      </c>
      <c r="L954" s="5"/>
      <c r="O954" s="3">
        <v>30</v>
      </c>
      <c r="P954" s="3">
        <v>30</v>
      </c>
    </row>
    <row r="955" spans="1:16" ht="15.75" hidden="1" x14ac:dyDescent="0.25">
      <c r="A955" s="48">
        <v>954</v>
      </c>
      <c r="B955" s="49" t="s">
        <v>1972</v>
      </c>
      <c r="C955" s="49" t="s">
        <v>1973</v>
      </c>
      <c r="D955" s="53" t="s">
        <v>82</v>
      </c>
      <c r="E955" s="53" t="s">
        <v>140</v>
      </c>
      <c r="F955" s="45">
        <f t="shared" si="119"/>
        <v>0</v>
      </c>
      <c r="G955" s="58">
        <f t="shared" si="125"/>
        <v>0</v>
      </c>
      <c r="H955" s="5"/>
      <c r="I955" s="5"/>
      <c r="J955" s="5"/>
      <c r="K955" s="5"/>
      <c r="L955" s="5"/>
    </row>
    <row r="956" spans="1:16" ht="15.75" hidden="1" x14ac:dyDescent="0.25">
      <c r="A956" s="48">
        <v>955</v>
      </c>
      <c r="B956" s="49" t="s">
        <v>1974</v>
      </c>
      <c r="C956" s="49" t="s">
        <v>1975</v>
      </c>
      <c r="D956" s="53" t="s">
        <v>47</v>
      </c>
      <c r="E956" s="53" t="s">
        <v>48</v>
      </c>
      <c r="F956" s="45">
        <f t="shared" ref="F956:F962" si="129">SUM($H956:$P956)</f>
        <v>90</v>
      </c>
      <c r="G956" s="58">
        <f t="shared" si="125"/>
        <v>1.5</v>
      </c>
      <c r="H956" s="5"/>
      <c r="I956" s="5"/>
      <c r="J956" s="5"/>
      <c r="K956" s="5"/>
      <c r="L956" s="5"/>
      <c r="N956" s="3">
        <v>30</v>
      </c>
      <c r="O956" s="3">
        <v>30</v>
      </c>
      <c r="P956" s="3">
        <v>30</v>
      </c>
    </row>
    <row r="957" spans="1:16" ht="15.75" hidden="1" x14ac:dyDescent="0.25">
      <c r="A957" s="48">
        <v>956</v>
      </c>
      <c r="B957" s="49" t="s">
        <v>1976</v>
      </c>
      <c r="C957" s="49" t="s">
        <v>1977</v>
      </c>
      <c r="D957" s="53" t="s">
        <v>47</v>
      </c>
      <c r="E957" s="53" t="s">
        <v>48</v>
      </c>
      <c r="F957" s="45">
        <f t="shared" si="129"/>
        <v>90</v>
      </c>
      <c r="G957" s="58">
        <f t="shared" si="125"/>
        <v>1.5</v>
      </c>
      <c r="H957" s="5"/>
      <c r="I957" s="5"/>
      <c r="J957" s="5"/>
      <c r="K957" s="5">
        <v>90</v>
      </c>
      <c r="L957" s="5"/>
    </row>
    <row r="958" spans="1:16" ht="15.75" hidden="1" x14ac:dyDescent="0.25">
      <c r="A958" s="48">
        <v>957</v>
      </c>
      <c r="B958" s="49" t="s">
        <v>1978</v>
      </c>
      <c r="C958" s="49" t="s">
        <v>1979</v>
      </c>
      <c r="D958" s="53" t="s">
        <v>47</v>
      </c>
      <c r="E958" s="53" t="s">
        <v>61</v>
      </c>
      <c r="F958" s="45">
        <f t="shared" si="129"/>
        <v>0</v>
      </c>
      <c r="G958" s="58">
        <f t="shared" si="125"/>
        <v>0</v>
      </c>
      <c r="H958" s="5"/>
      <c r="I958" s="5"/>
      <c r="J958" s="5"/>
      <c r="K958" s="5"/>
      <c r="L958" s="5"/>
    </row>
    <row r="959" spans="1:16" ht="15.75" hidden="1" x14ac:dyDescent="0.25">
      <c r="A959" s="48">
        <v>958</v>
      </c>
      <c r="B959" s="49" t="s">
        <v>1980</v>
      </c>
      <c r="C959" s="49" t="s">
        <v>1981</v>
      </c>
      <c r="D959" s="53" t="s">
        <v>47</v>
      </c>
      <c r="E959" s="53" t="s">
        <v>76</v>
      </c>
      <c r="F959" s="45">
        <f t="shared" si="129"/>
        <v>0</v>
      </c>
      <c r="G959" s="58">
        <f t="shared" si="125"/>
        <v>0</v>
      </c>
      <c r="H959" s="5"/>
      <c r="I959" s="5"/>
      <c r="J959" s="5"/>
      <c r="K959" s="5"/>
      <c r="L959" s="5"/>
    </row>
    <row r="960" spans="1:16" ht="15.75" hidden="1" x14ac:dyDescent="0.25">
      <c r="A960" s="48">
        <v>959</v>
      </c>
      <c r="B960" s="49" t="s">
        <v>1982</v>
      </c>
      <c r="C960" s="49" t="s">
        <v>1983</v>
      </c>
      <c r="D960" s="53" t="s">
        <v>47</v>
      </c>
      <c r="E960" s="53" t="s">
        <v>76</v>
      </c>
      <c r="F960" s="45">
        <f t="shared" si="129"/>
        <v>83</v>
      </c>
      <c r="G960" s="58">
        <f t="shared" si="125"/>
        <v>1.3833333333333333</v>
      </c>
      <c r="H960" s="5"/>
      <c r="I960" s="5">
        <v>83</v>
      </c>
      <c r="J960" s="5"/>
      <c r="K960" s="5"/>
      <c r="L960" s="5"/>
    </row>
    <row r="961" spans="1:16" ht="15.75" hidden="1" x14ac:dyDescent="0.25">
      <c r="A961" s="48">
        <v>960</v>
      </c>
      <c r="B961" s="49" t="s">
        <v>1984</v>
      </c>
      <c r="C961" s="49" t="s">
        <v>1985</v>
      </c>
      <c r="D961" s="53" t="s">
        <v>47</v>
      </c>
      <c r="E961" s="53" t="s">
        <v>51</v>
      </c>
      <c r="F961" s="45">
        <f t="shared" si="129"/>
        <v>0</v>
      </c>
      <c r="G961" s="58">
        <f t="shared" si="125"/>
        <v>0</v>
      </c>
      <c r="H961" s="5"/>
      <c r="I961" s="5"/>
      <c r="J961" s="5"/>
      <c r="K961" s="5"/>
      <c r="L961" s="5"/>
    </row>
    <row r="962" spans="1:16" ht="15.75" hidden="1" x14ac:dyDescent="0.25">
      <c r="A962" s="48">
        <v>961</v>
      </c>
      <c r="B962" s="49" t="s">
        <v>1986</v>
      </c>
      <c r="C962" s="49" t="s">
        <v>1987</v>
      </c>
      <c r="D962" s="53" t="s">
        <v>47</v>
      </c>
      <c r="E962" s="53" t="s">
        <v>56</v>
      </c>
      <c r="F962" s="45">
        <f t="shared" si="129"/>
        <v>0</v>
      </c>
      <c r="G962" s="58">
        <f t="shared" si="125"/>
        <v>0</v>
      </c>
      <c r="H962" s="5"/>
      <c r="I962" s="5"/>
      <c r="J962" s="5"/>
      <c r="K962" s="5"/>
      <c r="L962" s="5"/>
    </row>
    <row r="963" spans="1:16" ht="15.75" hidden="1" x14ac:dyDescent="0.25">
      <c r="A963" s="48">
        <v>962</v>
      </c>
      <c r="B963" s="49" t="s">
        <v>1988</v>
      </c>
      <c r="C963" s="49" t="s">
        <v>1989</v>
      </c>
      <c r="D963" s="53" t="s">
        <v>64</v>
      </c>
      <c r="E963" s="53" t="s">
        <v>65</v>
      </c>
      <c r="F963" s="45">
        <f t="shared" ref="F963:F1025" si="130">SUM($H963:$K963)</f>
        <v>0</v>
      </c>
      <c r="G963" s="58">
        <f t="shared" si="125"/>
        <v>0</v>
      </c>
      <c r="H963" s="5"/>
      <c r="I963" s="5"/>
      <c r="J963" s="5"/>
      <c r="K963" s="5"/>
      <c r="L963" s="5"/>
    </row>
    <row r="964" spans="1:16" ht="15.75" hidden="1" x14ac:dyDescent="0.25">
      <c r="A964" s="48">
        <v>963</v>
      </c>
      <c r="B964" s="49" t="s">
        <v>1990</v>
      </c>
      <c r="C964" s="49" t="s">
        <v>1991</v>
      </c>
      <c r="D964" s="53" t="s">
        <v>47</v>
      </c>
      <c r="E964" s="53" t="s">
        <v>61</v>
      </c>
      <c r="F964" s="45">
        <f t="shared" ref="F964:F969" si="131">SUM($H964:$P964)</f>
        <v>0</v>
      </c>
      <c r="G964" s="58">
        <f t="shared" si="125"/>
        <v>0</v>
      </c>
      <c r="H964" s="5"/>
      <c r="I964" s="5"/>
      <c r="J964" s="5"/>
      <c r="K964" s="5"/>
      <c r="L964" s="5"/>
    </row>
    <row r="965" spans="1:16" ht="15.75" hidden="1" x14ac:dyDescent="0.25">
      <c r="A965" s="48">
        <v>964</v>
      </c>
      <c r="B965" s="49" t="s">
        <v>1992</v>
      </c>
      <c r="C965" s="49" t="s">
        <v>1993</v>
      </c>
      <c r="D965" s="53" t="s">
        <v>47</v>
      </c>
      <c r="E965" s="53" t="s">
        <v>61</v>
      </c>
      <c r="F965" s="45">
        <f t="shared" si="131"/>
        <v>0</v>
      </c>
      <c r="G965" s="58">
        <f t="shared" si="125"/>
        <v>0</v>
      </c>
      <c r="H965" s="5"/>
      <c r="I965" s="5"/>
      <c r="J965" s="5"/>
      <c r="K965" s="5"/>
      <c r="L965" s="5"/>
    </row>
    <row r="966" spans="1:16" ht="15.75" hidden="1" x14ac:dyDescent="0.25">
      <c r="A966" s="48">
        <v>965</v>
      </c>
      <c r="B966" s="49" t="s">
        <v>1994</v>
      </c>
      <c r="C966" s="49" t="s">
        <v>1995</v>
      </c>
      <c r="D966" s="53" t="s">
        <v>47</v>
      </c>
      <c r="E966" s="53" t="s">
        <v>48</v>
      </c>
      <c r="F966" s="45">
        <f t="shared" si="131"/>
        <v>150</v>
      </c>
      <c r="G966" s="58">
        <f t="shared" si="125"/>
        <v>2.5</v>
      </c>
      <c r="H966" s="5">
        <v>90</v>
      </c>
      <c r="I966" s="5"/>
      <c r="J966" s="5"/>
      <c r="K966" s="5"/>
      <c r="L966" s="5"/>
      <c r="O966" s="3">
        <v>30</v>
      </c>
      <c r="P966" s="3">
        <v>30</v>
      </c>
    </row>
    <row r="967" spans="1:16" ht="15.75" hidden="1" x14ac:dyDescent="0.25">
      <c r="A967" s="48">
        <v>966</v>
      </c>
      <c r="B967" s="49" t="s">
        <v>1996</v>
      </c>
      <c r="C967" s="49" t="s">
        <v>1997</v>
      </c>
      <c r="D967" s="53" t="s">
        <v>47</v>
      </c>
      <c r="E967" s="53" t="s">
        <v>105</v>
      </c>
      <c r="F967" s="45">
        <f t="shared" si="131"/>
        <v>30</v>
      </c>
      <c r="G967" s="58">
        <f t="shared" si="125"/>
        <v>0.5</v>
      </c>
      <c r="H967" s="5"/>
      <c r="I967" s="5"/>
      <c r="J967" s="5"/>
      <c r="K967" s="5"/>
      <c r="L967" s="5"/>
      <c r="N967" s="3">
        <v>30</v>
      </c>
    </row>
    <row r="968" spans="1:16" ht="15.75" hidden="1" x14ac:dyDescent="0.25">
      <c r="A968" s="48">
        <v>967</v>
      </c>
      <c r="B968" s="49" t="s">
        <v>1998</v>
      </c>
      <c r="C968" s="49" t="s">
        <v>1999</v>
      </c>
      <c r="D968" s="53" t="s">
        <v>47</v>
      </c>
      <c r="E968" s="53" t="s">
        <v>105</v>
      </c>
      <c r="F968" s="45">
        <f t="shared" si="131"/>
        <v>0</v>
      </c>
      <c r="G968" s="58">
        <f t="shared" si="125"/>
        <v>0</v>
      </c>
      <c r="H968" s="5"/>
      <c r="I968" s="5"/>
      <c r="J968" s="5"/>
      <c r="K968" s="5"/>
      <c r="L968" s="5"/>
    </row>
    <row r="969" spans="1:16" ht="15.75" hidden="1" x14ac:dyDescent="0.25">
      <c r="A969" s="48">
        <v>968</v>
      </c>
      <c r="B969" s="49" t="s">
        <v>2000</v>
      </c>
      <c r="C969" s="49" t="s">
        <v>2001</v>
      </c>
      <c r="D969" s="53" t="s">
        <v>47</v>
      </c>
      <c r="E969" s="53" t="s">
        <v>76</v>
      </c>
      <c r="F969" s="45">
        <f t="shared" si="131"/>
        <v>120</v>
      </c>
      <c r="G969" s="58">
        <f t="shared" si="125"/>
        <v>2</v>
      </c>
      <c r="H969" s="5"/>
      <c r="I969" s="5"/>
      <c r="J969" s="5"/>
      <c r="K969" s="5">
        <v>90</v>
      </c>
      <c r="L969" s="5"/>
      <c r="P969" s="3">
        <v>30</v>
      </c>
    </row>
    <row r="970" spans="1:16" ht="15.75" hidden="1" x14ac:dyDescent="0.25">
      <c r="A970" s="48">
        <v>969</v>
      </c>
      <c r="B970" s="49" t="s">
        <v>2002</v>
      </c>
      <c r="C970" s="49" t="s">
        <v>2003</v>
      </c>
      <c r="D970" s="53" t="s">
        <v>64</v>
      </c>
      <c r="E970" s="53" t="s">
        <v>186</v>
      </c>
      <c r="F970" s="45">
        <f t="shared" si="130"/>
        <v>0</v>
      </c>
      <c r="G970" s="58">
        <f t="shared" si="125"/>
        <v>0</v>
      </c>
      <c r="H970" s="5"/>
      <c r="I970" s="5"/>
      <c r="J970" s="5"/>
      <c r="K970" s="5"/>
      <c r="L970" s="5"/>
    </row>
    <row r="971" spans="1:16" ht="15.75" hidden="1" x14ac:dyDescent="0.25">
      <c r="A971" s="48">
        <v>970</v>
      </c>
      <c r="B971" s="49" t="s">
        <v>2004</v>
      </c>
      <c r="C971" s="49" t="s">
        <v>2005</v>
      </c>
      <c r="D971" s="53" t="s">
        <v>47</v>
      </c>
      <c r="E971" s="53" t="s">
        <v>48</v>
      </c>
      <c r="F971" s="45">
        <f t="shared" ref="F971:F972" si="132">SUM($H971:$P971)</f>
        <v>262</v>
      </c>
      <c r="G971" s="58">
        <f t="shared" si="125"/>
        <v>4.3666666666666663</v>
      </c>
      <c r="H971" s="5">
        <v>90</v>
      </c>
      <c r="I971" s="5">
        <v>82</v>
      </c>
      <c r="J971" s="5"/>
      <c r="K971" s="5"/>
      <c r="L971" s="5"/>
      <c r="M971" s="3">
        <v>30</v>
      </c>
      <c r="N971" s="3">
        <v>30</v>
      </c>
      <c r="O971" s="3">
        <v>30</v>
      </c>
    </row>
    <row r="972" spans="1:16" ht="15.75" hidden="1" x14ac:dyDescent="0.25">
      <c r="A972" s="48">
        <v>971</v>
      </c>
      <c r="B972" s="49" t="s">
        <v>2006</v>
      </c>
      <c r="C972" s="49" t="s">
        <v>2007</v>
      </c>
      <c r="D972" s="53" t="s">
        <v>47</v>
      </c>
      <c r="E972" s="53" t="s">
        <v>48</v>
      </c>
      <c r="F972" s="45">
        <f t="shared" si="132"/>
        <v>90</v>
      </c>
      <c r="G972" s="58">
        <f t="shared" si="125"/>
        <v>1.5</v>
      </c>
      <c r="H972" s="5"/>
      <c r="I972" s="5"/>
      <c r="J972" s="5"/>
      <c r="K972" s="5"/>
      <c r="L972" s="5">
        <v>60</v>
      </c>
      <c r="P972" s="3">
        <v>30</v>
      </c>
    </row>
    <row r="973" spans="1:16" ht="15.75" hidden="1" x14ac:dyDescent="0.25">
      <c r="A973" s="48">
        <v>972</v>
      </c>
      <c r="B973" s="49" t="s">
        <v>2008</v>
      </c>
      <c r="C973" s="49" t="s">
        <v>2009</v>
      </c>
      <c r="D973" s="53" t="s">
        <v>82</v>
      </c>
      <c r="E973" s="53" t="s">
        <v>140</v>
      </c>
      <c r="F973" s="45">
        <f t="shared" si="130"/>
        <v>90</v>
      </c>
      <c r="G973" s="58">
        <f t="shared" si="125"/>
        <v>1.5</v>
      </c>
      <c r="H973" s="5">
        <v>90</v>
      </c>
      <c r="I973" s="5"/>
      <c r="J973" s="5"/>
      <c r="K973" s="5"/>
      <c r="L973" s="5"/>
    </row>
    <row r="974" spans="1:16" ht="15.75" hidden="1" x14ac:dyDescent="0.25">
      <c r="A974" s="48">
        <v>973</v>
      </c>
      <c r="B974" s="49" t="s">
        <v>2010</v>
      </c>
      <c r="C974" s="49" t="s">
        <v>2011</v>
      </c>
      <c r="D974" s="53" t="s">
        <v>47</v>
      </c>
      <c r="E974" s="53" t="s">
        <v>48</v>
      </c>
      <c r="F974" s="45">
        <f t="shared" ref="F974:F976" si="133">SUM($H974:$P974)</f>
        <v>30</v>
      </c>
      <c r="G974" s="58">
        <f t="shared" si="125"/>
        <v>0.5</v>
      </c>
      <c r="H974" s="5"/>
      <c r="I974" s="5"/>
      <c r="J974" s="5"/>
      <c r="K974" s="5"/>
      <c r="L974" s="5"/>
      <c r="N974" s="3">
        <v>30</v>
      </c>
    </row>
    <row r="975" spans="1:16" ht="15.75" hidden="1" x14ac:dyDescent="0.25">
      <c r="A975" s="48">
        <v>974</v>
      </c>
      <c r="B975" s="49" t="s">
        <v>2012</v>
      </c>
      <c r="C975" s="49" t="s">
        <v>2013</v>
      </c>
      <c r="D975" s="53" t="s">
        <v>47</v>
      </c>
      <c r="E975" s="53" t="s">
        <v>76</v>
      </c>
      <c r="F975" s="45">
        <f t="shared" si="133"/>
        <v>0</v>
      </c>
      <c r="G975" s="58">
        <f t="shared" si="125"/>
        <v>0</v>
      </c>
      <c r="H975" s="5"/>
      <c r="I975" s="5"/>
      <c r="J975" s="5"/>
      <c r="K975" s="5"/>
      <c r="L975" s="5"/>
    </row>
    <row r="976" spans="1:16" ht="15.75" hidden="1" x14ac:dyDescent="0.25">
      <c r="A976" s="48">
        <v>975</v>
      </c>
      <c r="B976" s="49" t="s">
        <v>2014</v>
      </c>
      <c r="C976" s="49" t="s">
        <v>2015</v>
      </c>
      <c r="D976" s="53" t="s">
        <v>47</v>
      </c>
      <c r="E976" s="53" t="s">
        <v>51</v>
      </c>
      <c r="F976" s="45">
        <f t="shared" si="133"/>
        <v>0</v>
      </c>
      <c r="G976" s="58">
        <f t="shared" si="125"/>
        <v>0</v>
      </c>
      <c r="H976" s="5"/>
      <c r="I976" s="5"/>
      <c r="J976" s="5"/>
      <c r="K976" s="5"/>
      <c r="L976" s="5"/>
    </row>
    <row r="977" spans="1:16" ht="15.75" hidden="1" x14ac:dyDescent="0.25">
      <c r="A977" s="48">
        <v>976</v>
      </c>
      <c r="B977" s="49" t="s">
        <v>2016</v>
      </c>
      <c r="C977" s="49" t="s">
        <v>2017</v>
      </c>
      <c r="D977" s="53" t="s">
        <v>64</v>
      </c>
      <c r="E977" s="53" t="s">
        <v>65</v>
      </c>
      <c r="F977" s="45">
        <f t="shared" si="130"/>
        <v>0</v>
      </c>
      <c r="G977" s="58">
        <f t="shared" si="125"/>
        <v>0</v>
      </c>
      <c r="H977" s="5"/>
      <c r="I977" s="5"/>
      <c r="J977" s="5"/>
      <c r="K977" s="5"/>
      <c r="L977" s="5"/>
    </row>
    <row r="978" spans="1:16" ht="15.75" hidden="1" x14ac:dyDescent="0.25">
      <c r="A978" s="48">
        <v>977</v>
      </c>
      <c r="B978" s="49" t="s">
        <v>2018</v>
      </c>
      <c r="C978" s="49" t="s">
        <v>2019</v>
      </c>
      <c r="D978" s="53" t="s">
        <v>64</v>
      </c>
      <c r="E978" s="53" t="s">
        <v>186</v>
      </c>
      <c r="F978" s="45">
        <f t="shared" si="130"/>
        <v>0</v>
      </c>
      <c r="G978" s="58">
        <f t="shared" si="125"/>
        <v>0</v>
      </c>
      <c r="H978" s="5"/>
      <c r="I978" s="5"/>
      <c r="J978" s="5"/>
      <c r="K978" s="5"/>
      <c r="L978" s="5"/>
    </row>
    <row r="979" spans="1:16" ht="15.75" hidden="1" x14ac:dyDescent="0.25">
      <c r="A979" s="48">
        <v>978</v>
      </c>
      <c r="B979" s="49" t="s">
        <v>2020</v>
      </c>
      <c r="C979" s="49" t="s">
        <v>2021</v>
      </c>
      <c r="D979" s="53" t="s">
        <v>47</v>
      </c>
      <c r="E979" s="53" t="s">
        <v>79</v>
      </c>
      <c r="F979" s="45">
        <f>SUM($H979:$P979)</f>
        <v>0</v>
      </c>
      <c r="G979" s="58">
        <f t="shared" si="125"/>
        <v>0</v>
      </c>
      <c r="H979" s="5"/>
      <c r="I979" s="5"/>
      <c r="J979" s="5"/>
      <c r="K979" s="5"/>
      <c r="L979" s="5"/>
    </row>
    <row r="980" spans="1:16" ht="15.75" hidden="1" x14ac:dyDescent="0.25">
      <c r="A980" s="48">
        <v>979</v>
      </c>
      <c r="B980" s="49" t="s">
        <v>2022</v>
      </c>
      <c r="C980" s="49" t="s">
        <v>2023</v>
      </c>
      <c r="D980" s="53" t="s">
        <v>82</v>
      </c>
      <c r="E980" s="53" t="s">
        <v>83</v>
      </c>
      <c r="F980" s="45">
        <f t="shared" si="130"/>
        <v>0</v>
      </c>
      <c r="G980" s="58">
        <f t="shared" si="125"/>
        <v>0</v>
      </c>
      <c r="H980" s="5"/>
      <c r="I980" s="5"/>
      <c r="J980" s="5"/>
      <c r="K980" s="5"/>
      <c r="L980" s="5"/>
    </row>
    <row r="981" spans="1:16" ht="15.75" hidden="1" x14ac:dyDescent="0.25">
      <c r="A981" s="48">
        <v>980</v>
      </c>
      <c r="B981" s="49" t="s">
        <v>2024</v>
      </c>
      <c r="C981" s="49" t="s">
        <v>2025</v>
      </c>
      <c r="D981" s="53" t="s">
        <v>64</v>
      </c>
      <c r="E981" s="53" t="s">
        <v>65</v>
      </c>
      <c r="F981" s="45">
        <f t="shared" si="130"/>
        <v>0</v>
      </c>
      <c r="G981" s="58">
        <f t="shared" si="125"/>
        <v>0</v>
      </c>
      <c r="H981" s="5"/>
      <c r="I981" s="5"/>
      <c r="J981" s="5"/>
      <c r="K981" s="5"/>
      <c r="L981" s="5"/>
    </row>
    <row r="982" spans="1:16" ht="15.75" hidden="1" x14ac:dyDescent="0.25">
      <c r="A982" s="48">
        <v>981</v>
      </c>
      <c r="B982" s="49" t="s">
        <v>2026</v>
      </c>
      <c r="C982" s="49" t="s">
        <v>2027</v>
      </c>
      <c r="D982" s="53" t="s">
        <v>47</v>
      </c>
      <c r="E982" s="53" t="s">
        <v>76</v>
      </c>
      <c r="F982" s="45">
        <f t="shared" ref="F982:F983" si="134">SUM($H982:$P982)</f>
        <v>300</v>
      </c>
      <c r="G982" s="58">
        <f t="shared" si="125"/>
        <v>5</v>
      </c>
      <c r="H982" s="5">
        <v>90</v>
      </c>
      <c r="I982" s="5"/>
      <c r="J982" s="5"/>
      <c r="K982" s="5">
        <v>90</v>
      </c>
      <c r="L982" s="5">
        <v>60</v>
      </c>
      <c r="M982" s="3">
        <v>30</v>
      </c>
      <c r="P982" s="3">
        <v>30</v>
      </c>
    </row>
    <row r="983" spans="1:16" ht="15.75" hidden="1" x14ac:dyDescent="0.25">
      <c r="A983" s="48">
        <v>982</v>
      </c>
      <c r="B983" s="49" t="s">
        <v>2028</v>
      </c>
      <c r="C983" s="49" t="s">
        <v>2029</v>
      </c>
      <c r="D983" s="53" t="s">
        <v>47</v>
      </c>
      <c r="E983" s="53" t="s">
        <v>76</v>
      </c>
      <c r="F983" s="45">
        <f t="shared" si="134"/>
        <v>283</v>
      </c>
      <c r="G983" s="58">
        <f t="shared" si="125"/>
        <v>4.7166666666666668</v>
      </c>
      <c r="H983" s="5"/>
      <c r="I983" s="5">
        <v>73</v>
      </c>
      <c r="J983" s="5"/>
      <c r="K983" s="5">
        <v>90</v>
      </c>
      <c r="L983" s="5"/>
      <c r="M983" s="3">
        <v>30</v>
      </c>
      <c r="N983" s="3">
        <v>30</v>
      </c>
      <c r="O983" s="3">
        <v>30</v>
      </c>
      <c r="P983" s="3">
        <v>30</v>
      </c>
    </row>
    <row r="984" spans="1:16" ht="15.75" hidden="1" x14ac:dyDescent="0.25">
      <c r="A984" s="48">
        <v>983</v>
      </c>
      <c r="B984" s="49" t="s">
        <v>2030</v>
      </c>
      <c r="C984" s="49" t="s">
        <v>2031</v>
      </c>
      <c r="D984" s="53" t="s">
        <v>82</v>
      </c>
      <c r="E984" s="53" t="s">
        <v>83</v>
      </c>
      <c r="F984" s="45">
        <f t="shared" si="130"/>
        <v>0</v>
      </c>
      <c r="G984" s="58">
        <f t="shared" si="125"/>
        <v>0</v>
      </c>
      <c r="H984" s="5"/>
      <c r="I984" s="5"/>
      <c r="J984" s="5"/>
      <c r="K984" s="5"/>
      <c r="L984" s="5"/>
    </row>
    <row r="985" spans="1:16" ht="15.75" hidden="1" x14ac:dyDescent="0.25">
      <c r="A985" s="48">
        <v>984</v>
      </c>
      <c r="B985" s="49" t="s">
        <v>2032</v>
      </c>
      <c r="C985" s="49" t="s">
        <v>2033</v>
      </c>
      <c r="D985" s="53" t="s">
        <v>47</v>
      </c>
      <c r="E985" s="53" t="s">
        <v>48</v>
      </c>
      <c r="F985" s="45">
        <f t="shared" ref="F985:F997" si="135">SUM($H985:$P985)</f>
        <v>291</v>
      </c>
      <c r="G985" s="58">
        <f t="shared" si="125"/>
        <v>4.8499999999999996</v>
      </c>
      <c r="H985" s="5">
        <v>90</v>
      </c>
      <c r="I985" s="5">
        <v>81</v>
      </c>
      <c r="J985" s="5"/>
      <c r="K985" s="5">
        <v>90</v>
      </c>
      <c r="L985" s="5"/>
      <c r="O985" s="3">
        <v>30</v>
      </c>
    </row>
    <row r="986" spans="1:16" ht="15.75" hidden="1" x14ac:dyDescent="0.25">
      <c r="A986" s="48">
        <v>985</v>
      </c>
      <c r="B986" s="49" t="s">
        <v>2034</v>
      </c>
      <c r="C986" s="49" t="s">
        <v>2035</v>
      </c>
      <c r="D986" s="53" t="s">
        <v>47</v>
      </c>
      <c r="E986" s="53" t="s">
        <v>51</v>
      </c>
      <c r="F986" s="45">
        <f t="shared" si="135"/>
        <v>30</v>
      </c>
      <c r="G986" s="58">
        <f t="shared" si="125"/>
        <v>0.5</v>
      </c>
      <c r="H986" s="5"/>
      <c r="I986" s="5"/>
      <c r="J986" s="5"/>
      <c r="K986" s="5"/>
      <c r="L986" s="5"/>
      <c r="P986" s="3">
        <v>30</v>
      </c>
    </row>
    <row r="987" spans="1:16" ht="15.75" hidden="1" x14ac:dyDescent="0.25">
      <c r="A987" s="48">
        <v>986</v>
      </c>
      <c r="B987" s="49" t="s">
        <v>2036</v>
      </c>
      <c r="C987" s="49" t="s">
        <v>2037</v>
      </c>
      <c r="D987" s="53" t="s">
        <v>47</v>
      </c>
      <c r="E987" s="53" t="s">
        <v>48</v>
      </c>
      <c r="F987" s="45">
        <f t="shared" si="135"/>
        <v>0</v>
      </c>
      <c r="G987" s="58">
        <f t="shared" si="125"/>
        <v>0</v>
      </c>
      <c r="H987" s="5"/>
      <c r="I987" s="5"/>
      <c r="J987" s="5"/>
      <c r="K987" s="5"/>
      <c r="L987" s="5"/>
    </row>
    <row r="988" spans="1:16" ht="15.75" hidden="1" x14ac:dyDescent="0.25">
      <c r="A988" s="48">
        <v>987</v>
      </c>
      <c r="B988" s="49" t="s">
        <v>2038</v>
      </c>
      <c r="C988" s="49" t="s">
        <v>2039</v>
      </c>
      <c r="D988" s="53" t="s">
        <v>47</v>
      </c>
      <c r="E988" s="53" t="s">
        <v>76</v>
      </c>
      <c r="F988" s="45">
        <f t="shared" si="135"/>
        <v>120</v>
      </c>
      <c r="G988" s="58">
        <f t="shared" si="125"/>
        <v>2</v>
      </c>
      <c r="H988" s="5">
        <v>90</v>
      </c>
      <c r="I988" s="5"/>
      <c r="J988" s="5"/>
      <c r="K988" s="5"/>
      <c r="L988" s="5"/>
      <c r="P988" s="3">
        <v>30</v>
      </c>
    </row>
    <row r="989" spans="1:16" ht="15.75" hidden="1" x14ac:dyDescent="0.25">
      <c r="A989" s="48">
        <v>988</v>
      </c>
      <c r="B989" s="49" t="s">
        <v>2040</v>
      </c>
      <c r="C989" s="49" t="s">
        <v>2041</v>
      </c>
      <c r="D989" s="53" t="s">
        <v>47</v>
      </c>
      <c r="E989" s="53" t="s">
        <v>51</v>
      </c>
      <c r="F989" s="45">
        <f t="shared" si="135"/>
        <v>0</v>
      </c>
      <c r="G989" s="58">
        <f t="shared" si="125"/>
        <v>0</v>
      </c>
      <c r="H989" s="5"/>
      <c r="I989" s="5"/>
      <c r="J989" s="5"/>
      <c r="K989" s="5"/>
      <c r="L989" s="5"/>
    </row>
    <row r="990" spans="1:16" ht="15.75" hidden="1" x14ac:dyDescent="0.25">
      <c r="A990" s="48">
        <v>989</v>
      </c>
      <c r="B990" s="49" t="s">
        <v>2042</v>
      </c>
      <c r="C990" s="49" t="s">
        <v>2043</v>
      </c>
      <c r="D990" s="53" t="s">
        <v>47</v>
      </c>
      <c r="E990" s="53" t="s">
        <v>48</v>
      </c>
      <c r="F990" s="45">
        <f t="shared" si="135"/>
        <v>0</v>
      </c>
      <c r="G990" s="58">
        <f t="shared" si="125"/>
        <v>0</v>
      </c>
      <c r="H990" s="5"/>
      <c r="I990" s="5"/>
      <c r="J990" s="5"/>
      <c r="K990" s="5"/>
      <c r="L990" s="5"/>
    </row>
    <row r="991" spans="1:16" ht="15.75" hidden="1" x14ac:dyDescent="0.25">
      <c r="A991" s="48">
        <v>990</v>
      </c>
      <c r="B991" s="49" t="s">
        <v>2044</v>
      </c>
      <c r="C991" s="49" t="s">
        <v>2045</v>
      </c>
      <c r="D991" s="53" t="s">
        <v>47</v>
      </c>
      <c r="E991" s="53" t="s">
        <v>48</v>
      </c>
      <c r="F991" s="45">
        <f t="shared" si="135"/>
        <v>120</v>
      </c>
      <c r="G991" s="58">
        <f t="shared" si="125"/>
        <v>2</v>
      </c>
      <c r="H991" s="5"/>
      <c r="I991" s="5"/>
      <c r="J991" s="5"/>
      <c r="K991" s="5"/>
      <c r="L991" s="5"/>
      <c r="M991" s="3">
        <v>30</v>
      </c>
      <c r="N991" s="3">
        <v>30</v>
      </c>
      <c r="O991" s="3">
        <v>30</v>
      </c>
      <c r="P991" s="3">
        <v>30</v>
      </c>
    </row>
    <row r="992" spans="1:16" ht="15.75" hidden="1" x14ac:dyDescent="0.25">
      <c r="A992" s="48">
        <v>991</v>
      </c>
      <c r="B992" s="49" t="s">
        <v>2046</v>
      </c>
      <c r="C992" s="49" t="s">
        <v>2047</v>
      </c>
      <c r="D992" s="53" t="s">
        <v>47</v>
      </c>
      <c r="E992" s="53" t="s">
        <v>205</v>
      </c>
      <c r="F992" s="45">
        <f t="shared" si="135"/>
        <v>0</v>
      </c>
      <c r="G992" s="58">
        <f t="shared" si="125"/>
        <v>0</v>
      </c>
      <c r="H992" s="5"/>
      <c r="I992" s="5"/>
      <c r="J992" s="5"/>
      <c r="K992" s="5"/>
      <c r="L992" s="5"/>
    </row>
    <row r="993" spans="1:16" ht="15.75" hidden="1" x14ac:dyDescent="0.25">
      <c r="A993" s="48">
        <v>992</v>
      </c>
      <c r="B993" s="49" t="s">
        <v>2048</v>
      </c>
      <c r="C993" s="49" t="s">
        <v>2049</v>
      </c>
      <c r="D993" s="53" t="s">
        <v>47</v>
      </c>
      <c r="E993" s="53" t="s">
        <v>86</v>
      </c>
      <c r="F993" s="45">
        <f t="shared" si="135"/>
        <v>0</v>
      </c>
      <c r="G993" s="58">
        <f t="shared" si="125"/>
        <v>0</v>
      </c>
      <c r="H993" s="5"/>
      <c r="I993" s="5"/>
      <c r="J993" s="5"/>
      <c r="K993" s="5"/>
      <c r="L993" s="5"/>
    </row>
    <row r="994" spans="1:16" ht="15.75" hidden="1" x14ac:dyDescent="0.25">
      <c r="A994" s="48">
        <v>993</v>
      </c>
      <c r="B994" s="49" t="s">
        <v>2050</v>
      </c>
      <c r="C994" s="49" t="s">
        <v>2051</v>
      </c>
      <c r="D994" s="53" t="s">
        <v>47</v>
      </c>
      <c r="E994" s="53" t="s">
        <v>56</v>
      </c>
      <c r="F994" s="45">
        <f t="shared" si="135"/>
        <v>0</v>
      </c>
      <c r="G994" s="58">
        <f t="shared" si="125"/>
        <v>0</v>
      </c>
      <c r="H994" s="5"/>
      <c r="I994" s="5"/>
      <c r="J994" s="5"/>
      <c r="K994" s="5"/>
      <c r="L994" s="5"/>
    </row>
    <row r="995" spans="1:16" ht="15.75" hidden="1" x14ac:dyDescent="0.25">
      <c r="A995" s="48">
        <v>994</v>
      </c>
      <c r="B995" s="49" t="s">
        <v>2052</v>
      </c>
      <c r="C995" s="49" t="s">
        <v>2053</v>
      </c>
      <c r="D995" s="53" t="s">
        <v>47</v>
      </c>
      <c r="E995" s="53" t="s">
        <v>51</v>
      </c>
      <c r="F995" s="45">
        <f t="shared" si="135"/>
        <v>150</v>
      </c>
      <c r="G995" s="58">
        <f t="shared" si="125"/>
        <v>2.5</v>
      </c>
      <c r="H995" s="5"/>
      <c r="I995" s="5"/>
      <c r="J995" s="5"/>
      <c r="K995" s="5"/>
      <c r="L995" s="5">
        <v>60</v>
      </c>
      <c r="N995" s="3">
        <v>30</v>
      </c>
      <c r="O995" s="3">
        <v>30</v>
      </c>
      <c r="P995" s="3">
        <v>30</v>
      </c>
    </row>
    <row r="996" spans="1:16" ht="15.75" hidden="1" x14ac:dyDescent="0.25">
      <c r="A996" s="48">
        <v>995</v>
      </c>
      <c r="B996" s="49" t="s">
        <v>2054</v>
      </c>
      <c r="C996" s="49" t="s">
        <v>2055</v>
      </c>
      <c r="D996" s="53" t="s">
        <v>47</v>
      </c>
      <c r="E996" s="53" t="s">
        <v>79</v>
      </c>
      <c r="F996" s="45">
        <f t="shared" si="135"/>
        <v>30</v>
      </c>
      <c r="G996" s="58">
        <f t="shared" si="125"/>
        <v>0.5</v>
      </c>
      <c r="H996" s="5"/>
      <c r="I996" s="5"/>
      <c r="J996" s="5"/>
      <c r="K996" s="5"/>
      <c r="L996" s="5"/>
      <c r="P996" s="3">
        <v>30</v>
      </c>
    </row>
    <row r="997" spans="1:16" ht="15.75" hidden="1" x14ac:dyDescent="0.25">
      <c r="A997" s="48">
        <v>996</v>
      </c>
      <c r="B997" s="49" t="s">
        <v>2056</v>
      </c>
      <c r="C997" s="49" t="s">
        <v>2057</v>
      </c>
      <c r="D997" s="53" t="s">
        <v>47</v>
      </c>
      <c r="E997" s="53" t="s">
        <v>56</v>
      </c>
      <c r="F997" s="45">
        <f t="shared" si="135"/>
        <v>7</v>
      </c>
      <c r="G997" s="58">
        <f t="shared" si="125"/>
        <v>0.11666666666666667</v>
      </c>
      <c r="H997" s="5"/>
      <c r="I997" s="5">
        <v>7</v>
      </c>
      <c r="J997" s="5"/>
      <c r="K997" s="5"/>
      <c r="L997" s="5"/>
    </row>
    <row r="998" spans="1:16" ht="15.75" hidden="1" x14ac:dyDescent="0.25">
      <c r="A998" s="48">
        <v>997</v>
      </c>
      <c r="B998" s="49" t="s">
        <v>2058</v>
      </c>
      <c r="C998" s="49" t="s">
        <v>2059</v>
      </c>
      <c r="D998" s="53" t="s">
        <v>82</v>
      </c>
      <c r="E998" s="53" t="s">
        <v>83</v>
      </c>
      <c r="F998" s="45">
        <f t="shared" si="130"/>
        <v>0</v>
      </c>
      <c r="G998" s="58">
        <f t="shared" si="125"/>
        <v>0</v>
      </c>
      <c r="H998" s="5"/>
      <c r="I998" s="5"/>
      <c r="J998" s="5"/>
      <c r="K998" s="5"/>
      <c r="L998" s="5"/>
    </row>
    <row r="999" spans="1:16" ht="15.75" hidden="1" x14ac:dyDescent="0.25">
      <c r="A999" s="48">
        <v>998</v>
      </c>
      <c r="B999" s="49" t="s">
        <v>2060</v>
      </c>
      <c r="C999" s="49" t="s">
        <v>2061</v>
      </c>
      <c r="D999" s="53" t="s">
        <v>47</v>
      </c>
      <c r="E999" s="53" t="s">
        <v>48</v>
      </c>
      <c r="F999" s="45">
        <f t="shared" ref="F999:F1005" si="136">SUM($H999:$P999)</f>
        <v>90</v>
      </c>
      <c r="G999" s="58">
        <f t="shared" si="125"/>
        <v>1.5</v>
      </c>
      <c r="H999" s="5"/>
      <c r="I999" s="5"/>
      <c r="J999" s="5"/>
      <c r="K999" s="5">
        <v>90</v>
      </c>
      <c r="L999" s="5"/>
    </row>
    <row r="1000" spans="1:16" ht="15.75" hidden="1" x14ac:dyDescent="0.25">
      <c r="A1000" s="48">
        <v>999</v>
      </c>
      <c r="B1000" s="49" t="s">
        <v>2062</v>
      </c>
      <c r="C1000" s="49" t="s">
        <v>2063</v>
      </c>
      <c r="D1000" s="53" t="s">
        <v>47</v>
      </c>
      <c r="E1000" s="53" t="s">
        <v>51</v>
      </c>
      <c r="F1000" s="45">
        <f t="shared" si="136"/>
        <v>300</v>
      </c>
      <c r="G1000" s="58">
        <f t="shared" si="125"/>
        <v>5</v>
      </c>
      <c r="H1000" s="5">
        <v>90</v>
      </c>
      <c r="I1000" s="5"/>
      <c r="J1000" s="5"/>
      <c r="K1000" s="5">
        <v>90</v>
      </c>
      <c r="L1000" s="5"/>
      <c r="M1000" s="3">
        <v>30</v>
      </c>
      <c r="N1000" s="3">
        <v>30</v>
      </c>
      <c r="O1000" s="3">
        <v>30</v>
      </c>
      <c r="P1000" s="3">
        <v>30</v>
      </c>
    </row>
    <row r="1001" spans="1:16" ht="15.75" hidden="1" x14ac:dyDescent="0.25">
      <c r="A1001" s="48">
        <v>1000</v>
      </c>
      <c r="B1001" s="49" t="s">
        <v>2064</v>
      </c>
      <c r="C1001" s="49" t="s">
        <v>2065</v>
      </c>
      <c r="D1001" s="53" t="s">
        <v>47</v>
      </c>
      <c r="E1001" s="53" t="s">
        <v>48</v>
      </c>
      <c r="F1001" s="45">
        <f t="shared" si="136"/>
        <v>60</v>
      </c>
      <c r="G1001" s="58">
        <f t="shared" ref="G1001:G1005" si="137">F1001/60</f>
        <v>1</v>
      </c>
      <c r="H1001" s="5"/>
      <c r="I1001" s="5"/>
      <c r="J1001" s="5"/>
      <c r="K1001" s="5"/>
      <c r="L1001" s="5"/>
      <c r="M1001" s="3">
        <v>30</v>
      </c>
      <c r="P1001" s="3">
        <v>30</v>
      </c>
    </row>
    <row r="1002" spans="1:16" ht="15.75" hidden="1" x14ac:dyDescent="0.25">
      <c r="A1002" s="48">
        <v>1001</v>
      </c>
      <c r="B1002" s="49" t="s">
        <v>2066</v>
      </c>
      <c r="C1002" s="49" t="s">
        <v>2067</v>
      </c>
      <c r="D1002" s="53" t="s">
        <v>47</v>
      </c>
      <c r="E1002" s="53" t="s">
        <v>76</v>
      </c>
      <c r="F1002" s="45">
        <f t="shared" si="136"/>
        <v>240</v>
      </c>
      <c r="G1002" s="58">
        <f t="shared" si="137"/>
        <v>4</v>
      </c>
      <c r="H1002" s="5">
        <v>90</v>
      </c>
      <c r="I1002" s="5"/>
      <c r="J1002" s="5"/>
      <c r="K1002" s="5">
        <v>90</v>
      </c>
      <c r="L1002" s="5">
        <v>60</v>
      </c>
    </row>
    <row r="1003" spans="1:16" ht="15.75" hidden="1" x14ac:dyDescent="0.25">
      <c r="A1003" s="48">
        <v>1002</v>
      </c>
      <c r="B1003" s="49" t="s">
        <v>2068</v>
      </c>
      <c r="C1003" s="49" t="s">
        <v>2069</v>
      </c>
      <c r="D1003" s="53" t="s">
        <v>47</v>
      </c>
      <c r="E1003" s="53" t="s">
        <v>79</v>
      </c>
      <c r="F1003" s="45">
        <f t="shared" si="136"/>
        <v>0</v>
      </c>
      <c r="G1003" s="58">
        <f t="shared" si="137"/>
        <v>0</v>
      </c>
      <c r="H1003" s="5"/>
      <c r="I1003" s="5"/>
      <c r="J1003" s="5"/>
      <c r="K1003" s="5"/>
      <c r="L1003" s="5"/>
    </row>
    <row r="1004" spans="1:16" ht="15.75" hidden="1" x14ac:dyDescent="0.25">
      <c r="A1004" s="48">
        <v>1003</v>
      </c>
      <c r="B1004" s="49" t="s">
        <v>2070</v>
      </c>
      <c r="C1004" s="49" t="s">
        <v>2071</v>
      </c>
      <c r="D1004" s="53" t="s">
        <v>47</v>
      </c>
      <c r="E1004" s="53" t="s">
        <v>48</v>
      </c>
      <c r="F1004" s="45">
        <f t="shared" si="136"/>
        <v>0</v>
      </c>
      <c r="G1004" s="58">
        <f t="shared" si="137"/>
        <v>0</v>
      </c>
      <c r="H1004" s="5"/>
      <c r="I1004" s="5"/>
      <c r="J1004" s="5"/>
      <c r="K1004" s="5"/>
      <c r="L1004" s="5"/>
    </row>
    <row r="1005" spans="1:16" ht="15.75" hidden="1" x14ac:dyDescent="0.25">
      <c r="A1005" s="48">
        <v>1004</v>
      </c>
      <c r="B1005" s="49" t="s">
        <v>2072</v>
      </c>
      <c r="C1005" s="49" t="s">
        <v>2073</v>
      </c>
      <c r="D1005" s="53" t="s">
        <v>47</v>
      </c>
      <c r="E1005" s="53" t="s">
        <v>76</v>
      </c>
      <c r="F1005" s="45">
        <f t="shared" si="136"/>
        <v>90</v>
      </c>
      <c r="G1005" s="58">
        <f t="shared" si="137"/>
        <v>1.5</v>
      </c>
      <c r="H1005" s="5"/>
      <c r="I1005" s="5"/>
      <c r="J1005" s="5"/>
      <c r="K1005" s="5"/>
      <c r="L1005" s="5"/>
      <c r="N1005" s="3">
        <v>30</v>
      </c>
      <c r="O1005" s="3">
        <v>30</v>
      </c>
      <c r="P1005" s="3">
        <v>30</v>
      </c>
    </row>
    <row r="1006" spans="1:16" ht="15.75" hidden="1" x14ac:dyDescent="0.25">
      <c r="A1006" s="48">
        <v>1005</v>
      </c>
      <c r="B1006" s="49" t="s">
        <v>2074</v>
      </c>
      <c r="C1006" s="49" t="s">
        <v>2075</v>
      </c>
      <c r="D1006" s="53" t="s">
        <v>123</v>
      </c>
      <c r="E1006" s="53" t="s">
        <v>123</v>
      </c>
      <c r="F1006" s="45">
        <f t="shared" si="130"/>
        <v>0</v>
      </c>
      <c r="G1006" s="57"/>
      <c r="H1006" s="5"/>
      <c r="I1006" s="5"/>
      <c r="J1006" s="5"/>
      <c r="K1006" s="5"/>
      <c r="L1006" s="5"/>
      <c r="M1006"/>
      <c r="N1006"/>
      <c r="O1006"/>
      <c r="P1006"/>
    </row>
    <row r="1007" spans="1:16" ht="15.75" hidden="1" x14ac:dyDescent="0.25">
      <c r="A1007" s="48">
        <v>1006</v>
      </c>
      <c r="B1007" s="49" t="s">
        <v>2076</v>
      </c>
      <c r="C1007" s="49" t="s">
        <v>2077</v>
      </c>
      <c r="D1007" s="53" t="s">
        <v>47</v>
      </c>
      <c r="E1007" s="53" t="s">
        <v>48</v>
      </c>
      <c r="F1007" s="45">
        <f t="shared" ref="F1007:F1008" si="138">SUM($H1007:$P1007)</f>
        <v>90</v>
      </c>
      <c r="G1007" s="58">
        <f t="shared" ref="G1007:G1025" si="139">F1007/60</f>
        <v>1.5</v>
      </c>
      <c r="H1007" s="5"/>
      <c r="I1007" s="5"/>
      <c r="J1007" s="5"/>
      <c r="K1007" s="5"/>
      <c r="L1007" s="5">
        <v>60</v>
      </c>
      <c r="P1007" s="3">
        <v>30</v>
      </c>
    </row>
    <row r="1008" spans="1:16" ht="15.75" hidden="1" x14ac:dyDescent="0.25">
      <c r="A1008" s="48">
        <v>1007</v>
      </c>
      <c r="B1008" s="49" t="s">
        <v>2078</v>
      </c>
      <c r="C1008" s="49" t="s">
        <v>2079</v>
      </c>
      <c r="D1008" s="53" t="s">
        <v>47</v>
      </c>
      <c r="E1008" s="53" t="s">
        <v>56</v>
      </c>
      <c r="F1008" s="45">
        <f t="shared" si="138"/>
        <v>0</v>
      </c>
      <c r="G1008" s="58">
        <f t="shared" si="139"/>
        <v>0</v>
      </c>
      <c r="H1008" s="5"/>
      <c r="I1008" s="5"/>
      <c r="J1008" s="5"/>
      <c r="K1008" s="5"/>
      <c r="L1008" s="5"/>
    </row>
    <row r="1009" spans="1:16" ht="15.75" hidden="1" x14ac:dyDescent="0.25">
      <c r="A1009" s="48">
        <v>1008</v>
      </c>
      <c r="B1009" s="49" t="s">
        <v>2080</v>
      </c>
      <c r="C1009" s="49" t="s">
        <v>2081</v>
      </c>
      <c r="D1009" s="53" t="s">
        <v>64</v>
      </c>
      <c r="E1009" s="53" t="s">
        <v>186</v>
      </c>
      <c r="F1009" s="45">
        <f t="shared" si="130"/>
        <v>0</v>
      </c>
      <c r="G1009" s="58">
        <f t="shared" si="139"/>
        <v>0</v>
      </c>
    </row>
    <row r="1010" spans="1:16" ht="15.75" hidden="1" x14ac:dyDescent="0.25">
      <c r="A1010" s="48">
        <v>1009</v>
      </c>
      <c r="B1010" s="49" t="s">
        <v>2082</v>
      </c>
      <c r="C1010" s="49" t="s">
        <v>2083</v>
      </c>
      <c r="D1010" s="53" t="s">
        <v>47</v>
      </c>
      <c r="E1010" s="53" t="s">
        <v>48</v>
      </c>
      <c r="F1010" s="45">
        <f t="shared" ref="F1010:F1016" si="140">SUM($H1010:$P1010)</f>
        <v>0</v>
      </c>
      <c r="G1010" s="58">
        <f t="shared" si="139"/>
        <v>0</v>
      </c>
    </row>
    <row r="1011" spans="1:16" ht="15.75" hidden="1" x14ac:dyDescent="0.25">
      <c r="A1011" s="48">
        <v>1010</v>
      </c>
      <c r="B1011" s="49" t="s">
        <v>2084</v>
      </c>
      <c r="C1011" s="49" t="s">
        <v>2085</v>
      </c>
      <c r="D1011" s="53" t="s">
        <v>47</v>
      </c>
      <c r="E1011" s="53" t="s">
        <v>105</v>
      </c>
      <c r="F1011" s="45">
        <f t="shared" si="140"/>
        <v>60</v>
      </c>
      <c r="G1011" s="58">
        <f t="shared" si="139"/>
        <v>1</v>
      </c>
      <c r="N1011" s="3">
        <v>30</v>
      </c>
      <c r="P1011" s="3">
        <v>30</v>
      </c>
    </row>
    <row r="1012" spans="1:16" ht="15.75" hidden="1" x14ac:dyDescent="0.25">
      <c r="A1012" s="48">
        <v>1011</v>
      </c>
      <c r="B1012" s="49" t="s">
        <v>2086</v>
      </c>
      <c r="C1012" s="49" t="s">
        <v>2087</v>
      </c>
      <c r="D1012" s="53" t="s">
        <v>47</v>
      </c>
      <c r="E1012" s="53" t="s">
        <v>105</v>
      </c>
      <c r="F1012" s="45">
        <f t="shared" si="140"/>
        <v>0</v>
      </c>
      <c r="G1012" s="58">
        <f t="shared" si="139"/>
        <v>0</v>
      </c>
    </row>
    <row r="1013" spans="1:16" ht="15.75" hidden="1" x14ac:dyDescent="0.25">
      <c r="A1013" s="48">
        <v>1012</v>
      </c>
      <c r="B1013" s="49" t="s">
        <v>2088</v>
      </c>
      <c r="C1013" s="49" t="s">
        <v>2089</v>
      </c>
      <c r="D1013" s="53" t="s">
        <v>47</v>
      </c>
      <c r="E1013" s="53" t="s">
        <v>105</v>
      </c>
      <c r="F1013" s="45">
        <f t="shared" si="140"/>
        <v>0</v>
      </c>
      <c r="G1013" s="58">
        <f t="shared" si="139"/>
        <v>0</v>
      </c>
    </row>
    <row r="1014" spans="1:16" ht="15.75" hidden="1" x14ac:dyDescent="0.25">
      <c r="A1014" s="48">
        <v>1013</v>
      </c>
      <c r="B1014" s="49" t="s">
        <v>2090</v>
      </c>
      <c r="C1014" s="49" t="s">
        <v>2091</v>
      </c>
      <c r="D1014" s="53" t="s">
        <v>47</v>
      </c>
      <c r="E1014" s="53" t="s">
        <v>48</v>
      </c>
      <c r="F1014" s="45">
        <f t="shared" si="140"/>
        <v>30</v>
      </c>
      <c r="G1014" s="58">
        <f t="shared" si="139"/>
        <v>0.5</v>
      </c>
      <c r="P1014" s="3">
        <v>30</v>
      </c>
    </row>
    <row r="1015" spans="1:16" ht="15.75" hidden="1" x14ac:dyDescent="0.25">
      <c r="A1015" s="48">
        <v>1014</v>
      </c>
      <c r="B1015" s="49" t="s">
        <v>2092</v>
      </c>
      <c r="C1015" s="49" t="s">
        <v>2093</v>
      </c>
      <c r="D1015" s="53" t="s">
        <v>47</v>
      </c>
      <c r="E1015" s="53" t="s">
        <v>51</v>
      </c>
      <c r="F1015" s="45">
        <f t="shared" si="140"/>
        <v>0</v>
      </c>
      <c r="G1015" s="58">
        <f t="shared" si="139"/>
        <v>0</v>
      </c>
    </row>
    <row r="1016" spans="1:16" ht="15.75" hidden="1" x14ac:dyDescent="0.25">
      <c r="A1016" s="48">
        <v>1015</v>
      </c>
      <c r="B1016" s="49" t="s">
        <v>2094</v>
      </c>
      <c r="C1016" s="49" t="s">
        <v>2095</v>
      </c>
      <c r="D1016" s="53" t="s">
        <v>47</v>
      </c>
      <c r="E1016" s="53" t="s">
        <v>48</v>
      </c>
      <c r="F1016" s="45">
        <f t="shared" si="140"/>
        <v>0</v>
      </c>
      <c r="G1016" s="58">
        <f t="shared" si="139"/>
        <v>0</v>
      </c>
    </row>
    <row r="1017" spans="1:16" ht="15.75" hidden="1" x14ac:dyDescent="0.25">
      <c r="A1017" s="48">
        <v>1016</v>
      </c>
      <c r="B1017" s="49" t="s">
        <v>2096</v>
      </c>
      <c r="C1017" s="49" t="s">
        <v>2097</v>
      </c>
      <c r="D1017" s="53" t="s">
        <v>82</v>
      </c>
      <c r="E1017" s="53" t="s">
        <v>83</v>
      </c>
      <c r="F1017" s="45">
        <f t="shared" si="130"/>
        <v>0</v>
      </c>
      <c r="G1017" s="58">
        <f t="shared" si="139"/>
        <v>0</v>
      </c>
    </row>
    <row r="1018" spans="1:16" ht="15.75" hidden="1" x14ac:dyDescent="0.25">
      <c r="A1018" s="48">
        <v>1017</v>
      </c>
      <c r="B1018" s="49" t="s">
        <v>2098</v>
      </c>
      <c r="C1018" s="49" t="s">
        <v>2099</v>
      </c>
      <c r="D1018" s="53" t="s">
        <v>47</v>
      </c>
      <c r="E1018" s="53" t="s">
        <v>48</v>
      </c>
      <c r="F1018" s="45">
        <f t="shared" ref="F1018:F1022" si="141">SUM($H1018:$P1018)</f>
        <v>60</v>
      </c>
      <c r="G1018" s="58">
        <f t="shared" si="139"/>
        <v>1</v>
      </c>
      <c r="L1018" s="3">
        <v>60</v>
      </c>
    </row>
    <row r="1019" spans="1:16" ht="15.75" hidden="1" x14ac:dyDescent="0.25">
      <c r="A1019" s="48">
        <v>1018</v>
      </c>
      <c r="B1019" s="49" t="s">
        <v>2100</v>
      </c>
      <c r="C1019" s="49" t="s">
        <v>2101</v>
      </c>
      <c r="D1019" s="53" t="s">
        <v>47</v>
      </c>
      <c r="E1019" s="53" t="s">
        <v>48</v>
      </c>
      <c r="F1019" s="45">
        <f t="shared" si="141"/>
        <v>442</v>
      </c>
      <c r="G1019" s="58">
        <f t="shared" si="139"/>
        <v>7.3666666666666663</v>
      </c>
      <c r="H1019" s="3">
        <v>90</v>
      </c>
      <c r="I1019" s="3">
        <v>82</v>
      </c>
      <c r="K1019" s="3">
        <v>90</v>
      </c>
      <c r="L1019" s="3">
        <v>60</v>
      </c>
      <c r="M1019" s="3">
        <v>30</v>
      </c>
      <c r="N1019" s="3">
        <v>30</v>
      </c>
      <c r="O1019" s="3">
        <v>30</v>
      </c>
      <c r="P1019" s="3">
        <v>30</v>
      </c>
    </row>
    <row r="1020" spans="1:16" ht="15.75" hidden="1" x14ac:dyDescent="0.25">
      <c r="A1020" s="48">
        <v>1019</v>
      </c>
      <c r="B1020" s="49" t="s">
        <v>2102</v>
      </c>
      <c r="C1020" s="49" t="s">
        <v>2103</v>
      </c>
      <c r="D1020" s="53" t="s">
        <v>47</v>
      </c>
      <c r="E1020" s="53" t="s">
        <v>51</v>
      </c>
      <c r="F1020" s="45">
        <f t="shared" si="141"/>
        <v>60</v>
      </c>
      <c r="G1020" s="58">
        <f t="shared" si="139"/>
        <v>1</v>
      </c>
      <c r="M1020" s="3">
        <v>30</v>
      </c>
      <c r="P1020" s="3">
        <v>30</v>
      </c>
    </row>
    <row r="1021" spans="1:16" ht="15.75" hidden="1" x14ac:dyDescent="0.25">
      <c r="A1021" s="48">
        <v>1020</v>
      </c>
      <c r="B1021" s="49" t="s">
        <v>2104</v>
      </c>
      <c r="C1021" s="49" t="s">
        <v>2105</v>
      </c>
      <c r="D1021" s="53" t="s">
        <v>47</v>
      </c>
      <c r="E1021" s="53" t="s">
        <v>116</v>
      </c>
      <c r="F1021" s="45">
        <f t="shared" si="141"/>
        <v>30</v>
      </c>
      <c r="G1021" s="58">
        <f t="shared" si="139"/>
        <v>0.5</v>
      </c>
      <c r="M1021" s="3">
        <v>30</v>
      </c>
    </row>
    <row r="1022" spans="1:16" ht="15.75" hidden="1" x14ac:dyDescent="0.25">
      <c r="A1022" s="48">
        <v>1021</v>
      </c>
      <c r="B1022" s="49" t="s">
        <v>2106</v>
      </c>
      <c r="C1022" s="49" t="s">
        <v>2107</v>
      </c>
      <c r="D1022" s="53" t="s">
        <v>47</v>
      </c>
      <c r="E1022" s="53" t="s">
        <v>116</v>
      </c>
      <c r="F1022" s="45">
        <f t="shared" si="141"/>
        <v>30</v>
      </c>
      <c r="G1022" s="58">
        <f t="shared" si="139"/>
        <v>0.5</v>
      </c>
      <c r="O1022" s="3">
        <v>30</v>
      </c>
    </row>
    <row r="1023" spans="1:16" ht="15.75" hidden="1" x14ac:dyDescent="0.25">
      <c r="A1023" s="48">
        <v>1022</v>
      </c>
      <c r="B1023" s="49" t="s">
        <v>2108</v>
      </c>
      <c r="C1023" s="49" t="s">
        <v>2109</v>
      </c>
      <c r="D1023" s="53" t="s">
        <v>64</v>
      </c>
      <c r="E1023" s="53" t="s">
        <v>65</v>
      </c>
      <c r="F1023" s="45">
        <f t="shared" si="130"/>
        <v>0</v>
      </c>
      <c r="G1023" s="58">
        <f t="shared" si="139"/>
        <v>0</v>
      </c>
    </row>
    <row r="1024" spans="1:16" ht="15.75" hidden="1" x14ac:dyDescent="0.25">
      <c r="A1024" s="48">
        <v>1023</v>
      </c>
      <c r="B1024" s="49" t="s">
        <v>2110</v>
      </c>
      <c r="C1024" s="49" t="s">
        <v>2111</v>
      </c>
      <c r="D1024" s="53" t="s">
        <v>47</v>
      </c>
      <c r="E1024" s="53" t="s">
        <v>76</v>
      </c>
      <c r="F1024" s="45">
        <f>SUM($H1024:$P1024)</f>
        <v>0</v>
      </c>
      <c r="G1024" s="58">
        <f t="shared" si="139"/>
        <v>0</v>
      </c>
    </row>
    <row r="1025" spans="1:16" ht="15.75" hidden="1" x14ac:dyDescent="0.25">
      <c r="A1025" s="48">
        <v>1024</v>
      </c>
      <c r="B1025" s="49" t="s">
        <v>2112</v>
      </c>
      <c r="C1025" s="49" t="s">
        <v>2113</v>
      </c>
      <c r="D1025" s="53" t="s">
        <v>82</v>
      </c>
      <c r="E1025" s="53" t="s">
        <v>83</v>
      </c>
      <c r="F1025" s="45">
        <f t="shared" si="130"/>
        <v>0</v>
      </c>
      <c r="G1025" s="58">
        <f t="shared" si="139"/>
        <v>0</v>
      </c>
    </row>
    <row r="1026" spans="1:16" ht="15.75" hidden="1" x14ac:dyDescent="0.25">
      <c r="A1026" s="48">
        <v>1025</v>
      </c>
      <c r="B1026" s="49" t="s">
        <v>2114</v>
      </c>
      <c r="C1026" s="49" t="s">
        <v>2115</v>
      </c>
      <c r="D1026" s="53" t="s">
        <v>123</v>
      </c>
      <c r="E1026" s="53" t="s">
        <v>123</v>
      </c>
      <c r="F1026" s="45">
        <f t="shared" ref="F1026:F1084" si="142">SUM($H1026:$K1026)</f>
        <v>0</v>
      </c>
      <c r="G1026" s="57"/>
      <c r="M1026"/>
      <c r="N1026"/>
      <c r="O1026"/>
      <c r="P1026"/>
    </row>
    <row r="1027" spans="1:16" ht="15.75" hidden="1" x14ac:dyDescent="0.25">
      <c r="A1027" s="48">
        <v>1026</v>
      </c>
      <c r="B1027" s="49" t="s">
        <v>2116</v>
      </c>
      <c r="C1027" s="49" t="s">
        <v>2117</v>
      </c>
      <c r="D1027" s="53" t="s">
        <v>47</v>
      </c>
      <c r="E1027" s="53" t="s">
        <v>48</v>
      </c>
      <c r="F1027" s="45">
        <f t="shared" ref="F1027:F1029" si="143">SUM($H1027:$P1027)</f>
        <v>300</v>
      </c>
      <c r="G1027" s="58">
        <f t="shared" ref="G1027:G1052" si="144">F1027/60</f>
        <v>5</v>
      </c>
      <c r="H1027" s="3">
        <v>90</v>
      </c>
      <c r="K1027" s="3">
        <v>90</v>
      </c>
      <c r="L1027" s="3">
        <v>60</v>
      </c>
      <c r="N1027" s="3">
        <v>30</v>
      </c>
      <c r="P1027" s="3">
        <v>30</v>
      </c>
    </row>
    <row r="1028" spans="1:16" ht="15.75" hidden="1" x14ac:dyDescent="0.25">
      <c r="A1028" s="48">
        <v>1027</v>
      </c>
      <c r="B1028" s="49" t="s">
        <v>2118</v>
      </c>
      <c r="C1028" s="49" t="s">
        <v>2119</v>
      </c>
      <c r="D1028" s="53" t="s">
        <v>47</v>
      </c>
      <c r="E1028" s="53" t="s">
        <v>86</v>
      </c>
      <c r="F1028" s="45">
        <f t="shared" si="143"/>
        <v>120</v>
      </c>
      <c r="G1028" s="58">
        <f t="shared" si="144"/>
        <v>2</v>
      </c>
      <c r="M1028" s="3">
        <v>30</v>
      </c>
      <c r="N1028" s="3">
        <v>30</v>
      </c>
      <c r="O1028" s="3">
        <v>30</v>
      </c>
      <c r="P1028" s="3">
        <v>30</v>
      </c>
    </row>
    <row r="1029" spans="1:16" ht="15.75" hidden="1" x14ac:dyDescent="0.25">
      <c r="A1029" s="48">
        <v>1028</v>
      </c>
      <c r="B1029" s="49" t="s">
        <v>2120</v>
      </c>
      <c r="C1029" s="49" t="s">
        <v>2121</v>
      </c>
      <c r="D1029" s="53" t="s">
        <v>47</v>
      </c>
      <c r="E1029" s="53" t="s">
        <v>51</v>
      </c>
      <c r="F1029" s="45">
        <f t="shared" si="143"/>
        <v>196</v>
      </c>
      <c r="G1029" s="58">
        <f t="shared" si="144"/>
        <v>3.2666666666666666</v>
      </c>
      <c r="I1029" s="3">
        <v>76</v>
      </c>
      <c r="M1029" s="3">
        <v>30</v>
      </c>
      <c r="N1029" s="3">
        <v>30</v>
      </c>
      <c r="O1029" s="3">
        <v>30</v>
      </c>
      <c r="P1029" s="3">
        <v>30</v>
      </c>
    </row>
    <row r="1030" spans="1:16" ht="15.75" hidden="1" x14ac:dyDescent="0.25">
      <c r="A1030" s="48">
        <v>1029</v>
      </c>
      <c r="B1030" s="49" t="s">
        <v>2122</v>
      </c>
      <c r="C1030" s="49" t="s">
        <v>2123</v>
      </c>
      <c r="D1030" s="53" t="s">
        <v>64</v>
      </c>
      <c r="E1030" s="53" t="s">
        <v>65</v>
      </c>
      <c r="F1030" s="45">
        <f t="shared" si="142"/>
        <v>0</v>
      </c>
      <c r="G1030" s="58">
        <f t="shared" si="144"/>
        <v>0</v>
      </c>
    </row>
    <row r="1031" spans="1:16" ht="15.75" hidden="1" x14ac:dyDescent="0.25">
      <c r="A1031" s="48">
        <v>1030</v>
      </c>
      <c r="B1031" s="49" t="s">
        <v>2124</v>
      </c>
      <c r="C1031" s="49" t="s">
        <v>2125</v>
      </c>
      <c r="D1031" s="53" t="s">
        <v>47</v>
      </c>
      <c r="E1031" s="53" t="s">
        <v>48</v>
      </c>
      <c r="F1031" s="45">
        <f t="shared" ref="F1031:F1039" si="145">SUM($H1031:$P1031)</f>
        <v>180</v>
      </c>
      <c r="G1031" s="58">
        <f t="shared" si="144"/>
        <v>3</v>
      </c>
      <c r="J1031" s="3">
        <v>60</v>
      </c>
      <c r="K1031" s="3">
        <v>90</v>
      </c>
      <c r="P1031" s="3">
        <v>30</v>
      </c>
    </row>
    <row r="1032" spans="1:16" ht="15.75" hidden="1" x14ac:dyDescent="0.25">
      <c r="A1032" s="48">
        <v>1031</v>
      </c>
      <c r="B1032" s="49" t="s">
        <v>2126</v>
      </c>
      <c r="C1032" s="49" t="s">
        <v>2127</v>
      </c>
      <c r="D1032" s="53" t="s">
        <v>47</v>
      </c>
      <c r="E1032" s="53" t="s">
        <v>76</v>
      </c>
      <c r="F1032" s="45">
        <f t="shared" si="145"/>
        <v>0</v>
      </c>
      <c r="G1032" s="58">
        <f t="shared" si="144"/>
        <v>0</v>
      </c>
    </row>
    <row r="1033" spans="1:16" ht="15.75" hidden="1" x14ac:dyDescent="0.25">
      <c r="A1033" s="48">
        <v>1032</v>
      </c>
      <c r="B1033" s="49" t="s">
        <v>2128</v>
      </c>
      <c r="C1033" s="49" t="s">
        <v>2129</v>
      </c>
      <c r="D1033" s="53" t="s">
        <v>47</v>
      </c>
      <c r="E1033" s="53" t="s">
        <v>48</v>
      </c>
      <c r="F1033" s="45">
        <f t="shared" si="145"/>
        <v>60</v>
      </c>
      <c r="G1033" s="58">
        <f t="shared" si="144"/>
        <v>1</v>
      </c>
      <c r="O1033" s="3">
        <v>30</v>
      </c>
      <c r="P1033" s="3">
        <v>30</v>
      </c>
    </row>
    <row r="1034" spans="1:16" ht="15.75" hidden="1" x14ac:dyDescent="0.25">
      <c r="A1034" s="48">
        <v>1033</v>
      </c>
      <c r="B1034" s="49" t="s">
        <v>2130</v>
      </c>
      <c r="C1034" s="49" t="s">
        <v>2131</v>
      </c>
      <c r="D1034" s="53" t="s">
        <v>47</v>
      </c>
      <c r="E1034" s="53" t="s">
        <v>116</v>
      </c>
      <c r="F1034" s="45">
        <f t="shared" si="145"/>
        <v>0</v>
      </c>
      <c r="G1034" s="58">
        <f t="shared" si="144"/>
        <v>0</v>
      </c>
    </row>
    <row r="1035" spans="1:16" ht="15.75" hidden="1" x14ac:dyDescent="0.25">
      <c r="A1035" s="48">
        <v>1034</v>
      </c>
      <c r="B1035" s="49" t="s">
        <v>2132</v>
      </c>
      <c r="C1035" s="49" t="s">
        <v>2133</v>
      </c>
      <c r="D1035" s="53" t="s">
        <v>47</v>
      </c>
      <c r="E1035" s="53" t="s">
        <v>48</v>
      </c>
      <c r="F1035" s="45">
        <f t="shared" si="145"/>
        <v>30</v>
      </c>
      <c r="G1035" s="58">
        <f t="shared" si="144"/>
        <v>0.5</v>
      </c>
      <c r="N1035" s="3">
        <v>30</v>
      </c>
    </row>
    <row r="1036" spans="1:16" ht="15.75" hidden="1" x14ac:dyDescent="0.25">
      <c r="A1036" s="48">
        <v>1035</v>
      </c>
      <c r="B1036" s="49" t="s">
        <v>2134</v>
      </c>
      <c r="C1036" s="49" t="s">
        <v>2135</v>
      </c>
      <c r="D1036" s="53" t="s">
        <v>47</v>
      </c>
      <c r="E1036" s="53" t="s">
        <v>48</v>
      </c>
      <c r="F1036" s="45">
        <f t="shared" si="145"/>
        <v>0</v>
      </c>
      <c r="G1036" s="58">
        <f t="shared" si="144"/>
        <v>0</v>
      </c>
    </row>
    <row r="1037" spans="1:16" ht="15.75" hidden="1" x14ac:dyDescent="0.25">
      <c r="A1037" s="48">
        <v>1036</v>
      </c>
      <c r="B1037" s="49" t="s">
        <v>2136</v>
      </c>
      <c r="C1037" s="49" t="s">
        <v>2137</v>
      </c>
      <c r="D1037" s="53" t="s">
        <v>47</v>
      </c>
      <c r="E1037" s="53" t="s">
        <v>51</v>
      </c>
      <c r="F1037" s="45">
        <f t="shared" si="145"/>
        <v>0</v>
      </c>
      <c r="G1037" s="58">
        <f t="shared" si="144"/>
        <v>0</v>
      </c>
    </row>
    <row r="1038" spans="1:16" ht="15.75" hidden="1" x14ac:dyDescent="0.25">
      <c r="A1038" s="48">
        <v>1037</v>
      </c>
      <c r="B1038" s="49" t="s">
        <v>2138</v>
      </c>
      <c r="C1038" s="49" t="s">
        <v>2139</v>
      </c>
      <c r="D1038" s="53" t="s">
        <v>47</v>
      </c>
      <c r="E1038" s="53" t="s">
        <v>48</v>
      </c>
      <c r="F1038" s="45">
        <f t="shared" si="145"/>
        <v>502</v>
      </c>
      <c r="G1038" s="58">
        <f t="shared" si="144"/>
        <v>8.3666666666666671</v>
      </c>
      <c r="H1038" s="3">
        <v>90</v>
      </c>
      <c r="I1038" s="3">
        <v>82</v>
      </c>
      <c r="J1038" s="3">
        <v>60</v>
      </c>
      <c r="K1038" s="3">
        <v>90</v>
      </c>
      <c r="L1038" s="3">
        <v>60</v>
      </c>
      <c r="M1038" s="3">
        <v>30</v>
      </c>
      <c r="N1038" s="3">
        <v>30</v>
      </c>
      <c r="O1038" s="3">
        <v>30</v>
      </c>
      <c r="P1038" s="3">
        <v>30</v>
      </c>
    </row>
    <row r="1039" spans="1:16" ht="15.75" hidden="1" x14ac:dyDescent="0.25">
      <c r="A1039" s="48">
        <v>1038</v>
      </c>
      <c r="B1039" s="49" t="s">
        <v>2140</v>
      </c>
      <c r="C1039" s="49" t="s">
        <v>2141</v>
      </c>
      <c r="D1039" s="53" t="s">
        <v>47</v>
      </c>
      <c r="E1039" s="53" t="s">
        <v>51</v>
      </c>
      <c r="F1039" s="45">
        <f t="shared" si="145"/>
        <v>30</v>
      </c>
      <c r="G1039" s="58">
        <f t="shared" si="144"/>
        <v>0.5</v>
      </c>
      <c r="P1039" s="3">
        <v>30</v>
      </c>
    </row>
    <row r="1040" spans="1:16" ht="15.75" hidden="1" x14ac:dyDescent="0.25">
      <c r="A1040" s="48">
        <v>1039</v>
      </c>
      <c r="B1040" s="49" t="s">
        <v>2142</v>
      </c>
      <c r="C1040" s="49" t="s">
        <v>2143</v>
      </c>
      <c r="D1040" s="53" t="s">
        <v>82</v>
      </c>
      <c r="E1040" s="53" t="s">
        <v>140</v>
      </c>
      <c r="F1040" s="45">
        <f t="shared" si="142"/>
        <v>0</v>
      </c>
      <c r="G1040" s="58">
        <f t="shared" si="144"/>
        <v>0</v>
      </c>
    </row>
    <row r="1041" spans="1:16" ht="15.75" hidden="1" x14ac:dyDescent="0.25">
      <c r="A1041" s="48">
        <v>1040</v>
      </c>
      <c r="B1041" s="49" t="s">
        <v>2144</v>
      </c>
      <c r="C1041" s="49" t="s">
        <v>2145</v>
      </c>
      <c r="D1041" s="53" t="s">
        <v>47</v>
      </c>
      <c r="E1041" s="53" t="s">
        <v>51</v>
      </c>
      <c r="F1041" s="45">
        <f t="shared" ref="F1041:F1052" si="146">SUM($H1041:$P1041)</f>
        <v>0</v>
      </c>
      <c r="G1041" s="58">
        <f t="shared" si="144"/>
        <v>0</v>
      </c>
    </row>
    <row r="1042" spans="1:16" ht="15.75" hidden="1" x14ac:dyDescent="0.25">
      <c r="A1042" s="48">
        <v>1041</v>
      </c>
      <c r="B1042" s="49" t="s">
        <v>2146</v>
      </c>
      <c r="C1042" s="49" t="s">
        <v>2147</v>
      </c>
      <c r="D1042" s="53" t="s">
        <v>47</v>
      </c>
      <c r="E1042" s="53" t="s">
        <v>105</v>
      </c>
      <c r="F1042" s="45">
        <f t="shared" si="146"/>
        <v>90</v>
      </c>
      <c r="G1042" s="58">
        <f t="shared" si="144"/>
        <v>1.5</v>
      </c>
      <c r="N1042" s="3">
        <v>30</v>
      </c>
      <c r="O1042" s="3">
        <v>30</v>
      </c>
      <c r="P1042" s="3">
        <v>30</v>
      </c>
    </row>
    <row r="1043" spans="1:16" ht="15.75" hidden="1" x14ac:dyDescent="0.25">
      <c r="A1043" s="48">
        <v>1042</v>
      </c>
      <c r="B1043" s="49" t="s">
        <v>2148</v>
      </c>
      <c r="C1043" s="49" t="s">
        <v>2149</v>
      </c>
      <c r="D1043" s="53" t="s">
        <v>47</v>
      </c>
      <c r="E1043" s="53" t="s">
        <v>105</v>
      </c>
      <c r="F1043" s="45">
        <f t="shared" si="146"/>
        <v>0</v>
      </c>
      <c r="G1043" s="58">
        <f t="shared" si="144"/>
        <v>0</v>
      </c>
    </row>
    <row r="1044" spans="1:16" ht="15.75" hidden="1" x14ac:dyDescent="0.25">
      <c r="A1044" s="48">
        <v>1043</v>
      </c>
      <c r="B1044" s="49" t="s">
        <v>2150</v>
      </c>
      <c r="C1044" s="49" t="s">
        <v>2151</v>
      </c>
      <c r="D1044" s="53" t="s">
        <v>47</v>
      </c>
      <c r="E1044" s="53" t="s">
        <v>48</v>
      </c>
      <c r="F1044" s="45">
        <f t="shared" si="146"/>
        <v>399</v>
      </c>
      <c r="G1044" s="58">
        <f t="shared" si="144"/>
        <v>6.65</v>
      </c>
      <c r="H1044" s="3">
        <v>90</v>
      </c>
      <c r="I1044" s="3">
        <v>69</v>
      </c>
      <c r="J1044" s="3">
        <v>60</v>
      </c>
      <c r="K1044" s="3">
        <v>90</v>
      </c>
      <c r="M1044" s="3">
        <v>30</v>
      </c>
      <c r="N1044" s="3">
        <v>30</v>
      </c>
      <c r="O1044" s="3">
        <v>30</v>
      </c>
    </row>
    <row r="1045" spans="1:16" ht="15.75" hidden="1" x14ac:dyDescent="0.25">
      <c r="A1045" s="48">
        <v>1044</v>
      </c>
      <c r="B1045" s="49" t="s">
        <v>2152</v>
      </c>
      <c r="C1045" s="49" t="s">
        <v>2153</v>
      </c>
      <c r="D1045" s="53" t="s">
        <v>47</v>
      </c>
      <c r="E1045" s="53" t="s">
        <v>48</v>
      </c>
      <c r="F1045" s="45">
        <f t="shared" si="146"/>
        <v>30</v>
      </c>
      <c r="G1045" s="58">
        <f t="shared" si="144"/>
        <v>0.5</v>
      </c>
      <c r="M1045" s="3">
        <v>30</v>
      </c>
    </row>
    <row r="1046" spans="1:16" ht="15.75" hidden="1" x14ac:dyDescent="0.25">
      <c r="A1046" s="48">
        <v>1045</v>
      </c>
      <c r="B1046" s="49" t="s">
        <v>2154</v>
      </c>
      <c r="C1046" s="49" t="s">
        <v>2155</v>
      </c>
      <c r="D1046" s="53" t="s">
        <v>47</v>
      </c>
      <c r="E1046" s="53" t="s">
        <v>51</v>
      </c>
      <c r="F1046" s="45">
        <f t="shared" si="146"/>
        <v>203</v>
      </c>
      <c r="G1046" s="58">
        <f t="shared" si="144"/>
        <v>3.3833333333333333</v>
      </c>
      <c r="I1046" s="3">
        <v>83</v>
      </c>
      <c r="M1046" s="3">
        <v>30</v>
      </c>
      <c r="N1046" s="3">
        <v>30</v>
      </c>
      <c r="O1046" s="3">
        <v>30</v>
      </c>
      <c r="P1046" s="3">
        <v>30</v>
      </c>
    </row>
    <row r="1047" spans="1:16" ht="15.75" hidden="1" x14ac:dyDescent="0.25">
      <c r="A1047" s="48">
        <v>1046</v>
      </c>
      <c r="B1047" s="49" t="s">
        <v>2156</v>
      </c>
      <c r="C1047" s="49" t="s">
        <v>2157</v>
      </c>
      <c r="D1047" s="53" t="s">
        <v>47</v>
      </c>
      <c r="E1047" s="53" t="s">
        <v>116</v>
      </c>
      <c r="F1047" s="45">
        <f t="shared" si="146"/>
        <v>0</v>
      </c>
      <c r="G1047" s="58">
        <f t="shared" si="144"/>
        <v>0</v>
      </c>
    </row>
    <row r="1048" spans="1:16" ht="15.75" hidden="1" x14ac:dyDescent="0.25">
      <c r="A1048" s="48">
        <v>1047</v>
      </c>
      <c r="B1048" s="49" t="s">
        <v>2158</v>
      </c>
      <c r="C1048" s="49" t="s">
        <v>2159</v>
      </c>
      <c r="D1048" s="53" t="s">
        <v>47</v>
      </c>
      <c r="E1048" s="53" t="s">
        <v>76</v>
      </c>
      <c r="F1048" s="45">
        <f t="shared" si="146"/>
        <v>30</v>
      </c>
      <c r="G1048" s="58">
        <f t="shared" si="144"/>
        <v>0.5</v>
      </c>
      <c r="O1048" s="3">
        <v>30</v>
      </c>
    </row>
    <row r="1049" spans="1:16" ht="15.75" hidden="1" x14ac:dyDescent="0.25">
      <c r="A1049" s="48">
        <v>1048</v>
      </c>
      <c r="B1049" s="49" t="s">
        <v>2160</v>
      </c>
      <c r="C1049" s="49" t="s">
        <v>2161</v>
      </c>
      <c r="D1049" s="53" t="s">
        <v>47</v>
      </c>
      <c r="E1049" s="53" t="s">
        <v>51</v>
      </c>
      <c r="F1049" s="45">
        <f t="shared" si="146"/>
        <v>0</v>
      </c>
      <c r="G1049" s="58">
        <f t="shared" si="144"/>
        <v>0</v>
      </c>
    </row>
    <row r="1050" spans="1:16" ht="15.75" hidden="1" x14ac:dyDescent="0.25">
      <c r="A1050" s="48">
        <v>1049</v>
      </c>
      <c r="B1050" s="49" t="s">
        <v>2162</v>
      </c>
      <c r="C1050" s="49" t="s">
        <v>2163</v>
      </c>
      <c r="D1050" s="53" t="s">
        <v>47</v>
      </c>
      <c r="E1050" s="53" t="s">
        <v>56</v>
      </c>
      <c r="F1050" s="45">
        <f t="shared" si="146"/>
        <v>90</v>
      </c>
      <c r="G1050" s="58">
        <f t="shared" si="144"/>
        <v>1.5</v>
      </c>
      <c r="K1050" s="3">
        <v>90</v>
      </c>
    </row>
    <row r="1051" spans="1:16" ht="15.75" hidden="1" x14ac:dyDescent="0.25">
      <c r="A1051" s="48">
        <v>1050</v>
      </c>
      <c r="B1051" s="49" t="s">
        <v>2164</v>
      </c>
      <c r="C1051" s="49" t="s">
        <v>2165</v>
      </c>
      <c r="D1051" s="53" t="s">
        <v>47</v>
      </c>
      <c r="E1051" s="53" t="s">
        <v>76</v>
      </c>
      <c r="F1051" s="45">
        <f t="shared" si="146"/>
        <v>120</v>
      </c>
      <c r="G1051" s="58">
        <f t="shared" si="144"/>
        <v>2</v>
      </c>
      <c r="M1051" s="3">
        <v>30</v>
      </c>
      <c r="N1051" s="3">
        <v>30</v>
      </c>
      <c r="O1051" s="3">
        <v>30</v>
      </c>
      <c r="P1051" s="3">
        <v>30</v>
      </c>
    </row>
    <row r="1052" spans="1:16" ht="15.75" hidden="1" x14ac:dyDescent="0.25">
      <c r="A1052" s="48">
        <v>1051</v>
      </c>
      <c r="B1052" s="49" t="s">
        <v>2166</v>
      </c>
      <c r="C1052" s="49" t="s">
        <v>2167</v>
      </c>
      <c r="D1052" s="53" t="s">
        <v>47</v>
      </c>
      <c r="E1052" s="53" t="s">
        <v>105</v>
      </c>
      <c r="F1052" s="45">
        <f t="shared" si="146"/>
        <v>0</v>
      </c>
      <c r="G1052" s="58">
        <f t="shared" si="144"/>
        <v>0</v>
      </c>
    </row>
    <row r="1053" spans="1:16" ht="15.75" hidden="1" x14ac:dyDescent="0.25">
      <c r="A1053" s="48">
        <v>1052</v>
      </c>
      <c r="B1053" s="49" t="s">
        <v>2168</v>
      </c>
      <c r="C1053" s="49" t="s">
        <v>2169</v>
      </c>
      <c r="D1053" s="53" t="s">
        <v>123</v>
      </c>
      <c r="E1053" s="53" t="s">
        <v>123</v>
      </c>
      <c r="F1053" s="45">
        <f t="shared" si="142"/>
        <v>0</v>
      </c>
      <c r="G1053" s="57"/>
      <c r="M1053"/>
      <c r="N1053"/>
      <c r="O1053"/>
      <c r="P1053"/>
    </row>
    <row r="1054" spans="1:16" ht="15.75" hidden="1" x14ac:dyDescent="0.25">
      <c r="A1054" s="48">
        <v>1053</v>
      </c>
      <c r="B1054" s="49" t="s">
        <v>2170</v>
      </c>
      <c r="C1054" s="49" t="s">
        <v>2171</v>
      </c>
      <c r="D1054" s="53" t="s">
        <v>47</v>
      </c>
      <c r="E1054" s="53" t="s">
        <v>51</v>
      </c>
      <c r="F1054" s="45">
        <f>SUM($H1054:$P1054)</f>
        <v>90</v>
      </c>
      <c r="G1054" s="58">
        <f t="shared" ref="G1054:G1090" si="147">F1054/60</f>
        <v>1.5</v>
      </c>
      <c r="M1054" s="3">
        <v>30</v>
      </c>
      <c r="N1054" s="3">
        <v>30</v>
      </c>
      <c r="P1054" s="3">
        <v>30</v>
      </c>
    </row>
    <row r="1055" spans="1:16" ht="15.75" hidden="1" x14ac:dyDescent="0.25">
      <c r="A1055" s="48">
        <v>1054</v>
      </c>
      <c r="B1055" s="49" t="s">
        <v>2172</v>
      </c>
      <c r="C1055" s="49" t="s">
        <v>2173</v>
      </c>
      <c r="D1055" s="53" t="s">
        <v>64</v>
      </c>
      <c r="E1055" s="53" t="s">
        <v>186</v>
      </c>
      <c r="F1055" s="45">
        <f t="shared" si="142"/>
        <v>0</v>
      </c>
      <c r="G1055" s="58">
        <f t="shared" si="147"/>
        <v>0</v>
      </c>
    </row>
    <row r="1056" spans="1:16" ht="15.75" hidden="1" x14ac:dyDescent="0.25">
      <c r="A1056" s="48">
        <v>1055</v>
      </c>
      <c r="B1056" s="49" t="s">
        <v>2174</v>
      </c>
      <c r="C1056" s="49" t="s">
        <v>2175</v>
      </c>
      <c r="D1056" s="53" t="s">
        <v>47</v>
      </c>
      <c r="E1056" s="53" t="s">
        <v>48</v>
      </c>
      <c r="F1056" s="45">
        <f>SUM($H1056:$P1056)</f>
        <v>92</v>
      </c>
      <c r="G1056" s="58">
        <f t="shared" si="147"/>
        <v>1.5333333333333334</v>
      </c>
      <c r="I1056" s="3">
        <v>32</v>
      </c>
      <c r="N1056" s="3">
        <v>30</v>
      </c>
      <c r="O1056" s="3">
        <v>30</v>
      </c>
    </row>
    <row r="1057" spans="1:16" ht="15.75" hidden="1" x14ac:dyDescent="0.25">
      <c r="A1057" s="48">
        <v>1056</v>
      </c>
      <c r="B1057" s="49" t="s">
        <v>2176</v>
      </c>
      <c r="C1057" s="49" t="s">
        <v>2177</v>
      </c>
      <c r="D1057" s="53" t="s">
        <v>64</v>
      </c>
      <c r="E1057" s="53" t="s">
        <v>186</v>
      </c>
      <c r="F1057" s="45">
        <f t="shared" si="142"/>
        <v>0</v>
      </c>
      <c r="G1057" s="58">
        <f t="shared" si="147"/>
        <v>0</v>
      </c>
    </row>
    <row r="1058" spans="1:16" ht="15.75" hidden="1" x14ac:dyDescent="0.25">
      <c r="A1058" s="48">
        <v>1057</v>
      </c>
      <c r="B1058" s="49" t="s">
        <v>2178</v>
      </c>
      <c r="C1058" s="49" t="s">
        <v>2179</v>
      </c>
      <c r="D1058" s="53" t="s">
        <v>47</v>
      </c>
      <c r="E1058" s="53" t="s">
        <v>51</v>
      </c>
      <c r="F1058" s="45">
        <f t="shared" ref="F1058:F1067" si="148">SUM($H1058:$P1058)</f>
        <v>0</v>
      </c>
      <c r="G1058" s="58">
        <f t="shared" si="147"/>
        <v>0</v>
      </c>
    </row>
    <row r="1059" spans="1:16" ht="15.75" hidden="1" x14ac:dyDescent="0.25">
      <c r="A1059" s="48">
        <v>1058</v>
      </c>
      <c r="B1059" s="49" t="s">
        <v>2180</v>
      </c>
      <c r="C1059" s="49" t="s">
        <v>2181</v>
      </c>
      <c r="D1059" s="53" t="s">
        <v>47</v>
      </c>
      <c r="E1059" s="53" t="s">
        <v>105</v>
      </c>
      <c r="F1059" s="45">
        <f t="shared" si="148"/>
        <v>300</v>
      </c>
      <c r="G1059" s="58">
        <f t="shared" si="147"/>
        <v>5</v>
      </c>
      <c r="H1059" s="3">
        <v>90</v>
      </c>
      <c r="J1059" s="3">
        <v>60</v>
      </c>
      <c r="L1059" s="3">
        <v>60</v>
      </c>
      <c r="N1059" s="3">
        <v>30</v>
      </c>
      <c r="O1059" s="3">
        <v>30</v>
      </c>
      <c r="P1059" s="3">
        <v>30</v>
      </c>
    </row>
    <row r="1060" spans="1:16" ht="15.75" hidden="1" x14ac:dyDescent="0.25">
      <c r="A1060" s="48">
        <v>1059</v>
      </c>
      <c r="B1060" s="49" t="s">
        <v>2182</v>
      </c>
      <c r="C1060" s="49" t="s">
        <v>2183</v>
      </c>
      <c r="D1060" s="53" t="s">
        <v>47</v>
      </c>
      <c r="E1060" s="53" t="s">
        <v>61</v>
      </c>
      <c r="F1060" s="45">
        <f t="shared" si="148"/>
        <v>90</v>
      </c>
      <c r="G1060" s="58">
        <f t="shared" si="147"/>
        <v>1.5</v>
      </c>
      <c r="M1060" s="3">
        <v>30</v>
      </c>
      <c r="N1060" s="3">
        <v>30</v>
      </c>
      <c r="P1060" s="3">
        <v>30</v>
      </c>
    </row>
    <row r="1061" spans="1:16" ht="15.75" hidden="1" x14ac:dyDescent="0.25">
      <c r="A1061" s="48">
        <v>1060</v>
      </c>
      <c r="B1061" s="49" t="s">
        <v>2184</v>
      </c>
      <c r="C1061" s="49" t="s">
        <v>2185</v>
      </c>
      <c r="D1061" s="53" t="s">
        <v>47</v>
      </c>
      <c r="E1061" s="53" t="s">
        <v>48</v>
      </c>
      <c r="F1061" s="45">
        <f t="shared" si="148"/>
        <v>192</v>
      </c>
      <c r="G1061" s="58">
        <f t="shared" si="147"/>
        <v>3.2</v>
      </c>
      <c r="H1061" s="3">
        <v>90</v>
      </c>
      <c r="I1061" s="3">
        <v>72</v>
      </c>
      <c r="N1061" s="3">
        <v>30</v>
      </c>
    </row>
    <row r="1062" spans="1:16" ht="15.75" hidden="1" x14ac:dyDescent="0.25">
      <c r="A1062" s="48">
        <v>1061</v>
      </c>
      <c r="B1062" s="49" t="s">
        <v>2186</v>
      </c>
      <c r="C1062" s="49" t="s">
        <v>2187</v>
      </c>
      <c r="D1062" s="53" t="s">
        <v>47</v>
      </c>
      <c r="E1062" s="53" t="s">
        <v>48</v>
      </c>
      <c r="F1062" s="45">
        <f t="shared" si="148"/>
        <v>30</v>
      </c>
      <c r="G1062" s="58">
        <f t="shared" si="147"/>
        <v>0.5</v>
      </c>
      <c r="M1062" s="3">
        <v>30</v>
      </c>
    </row>
    <row r="1063" spans="1:16" ht="15.75" hidden="1" x14ac:dyDescent="0.25">
      <c r="A1063" s="48">
        <v>1062</v>
      </c>
      <c r="B1063" s="49" t="s">
        <v>2188</v>
      </c>
      <c r="C1063" s="49" t="s">
        <v>2189</v>
      </c>
      <c r="D1063" s="53" t="s">
        <v>47</v>
      </c>
      <c r="E1063" s="53" t="s">
        <v>48</v>
      </c>
      <c r="F1063" s="45">
        <f t="shared" si="148"/>
        <v>270</v>
      </c>
      <c r="G1063" s="58">
        <f t="shared" si="147"/>
        <v>4.5</v>
      </c>
      <c r="H1063" s="3">
        <v>90</v>
      </c>
      <c r="J1063" s="3">
        <v>60</v>
      </c>
      <c r="M1063" s="3">
        <v>30</v>
      </c>
      <c r="N1063" s="3">
        <v>30</v>
      </c>
      <c r="O1063" s="3">
        <v>30</v>
      </c>
      <c r="P1063" s="3">
        <v>30</v>
      </c>
    </row>
    <row r="1064" spans="1:16" ht="15.75" hidden="1" x14ac:dyDescent="0.25">
      <c r="A1064" s="48">
        <v>1063</v>
      </c>
      <c r="B1064" s="49" t="s">
        <v>2190</v>
      </c>
      <c r="C1064" s="49" t="s">
        <v>2191</v>
      </c>
      <c r="D1064" s="53" t="s">
        <v>47</v>
      </c>
      <c r="E1064" s="53" t="s">
        <v>79</v>
      </c>
      <c r="F1064" s="45">
        <f t="shared" si="148"/>
        <v>90</v>
      </c>
      <c r="G1064" s="58">
        <f t="shared" si="147"/>
        <v>1.5</v>
      </c>
      <c r="H1064" s="3">
        <v>90</v>
      </c>
    </row>
    <row r="1065" spans="1:16" ht="15.75" hidden="1" x14ac:dyDescent="0.25">
      <c r="A1065" s="48">
        <v>1064</v>
      </c>
      <c r="B1065" s="49" t="s">
        <v>2192</v>
      </c>
      <c r="C1065" s="49" t="s">
        <v>2193</v>
      </c>
      <c r="D1065" s="53" t="s">
        <v>47</v>
      </c>
      <c r="E1065" s="53" t="s">
        <v>51</v>
      </c>
      <c r="F1065" s="45">
        <f t="shared" si="148"/>
        <v>0</v>
      </c>
      <c r="G1065" s="58">
        <f t="shared" si="147"/>
        <v>0</v>
      </c>
    </row>
    <row r="1066" spans="1:16" ht="15.75" hidden="1" x14ac:dyDescent="0.25">
      <c r="A1066" s="48">
        <v>1065</v>
      </c>
      <c r="B1066" s="49" t="s">
        <v>2194</v>
      </c>
      <c r="C1066" s="49" t="s">
        <v>2195</v>
      </c>
      <c r="D1066" s="53" t="s">
        <v>47</v>
      </c>
      <c r="E1066" s="53" t="s">
        <v>61</v>
      </c>
      <c r="F1066" s="45">
        <f t="shared" si="148"/>
        <v>0</v>
      </c>
      <c r="G1066" s="58">
        <f t="shared" si="147"/>
        <v>0</v>
      </c>
    </row>
    <row r="1067" spans="1:16" ht="15.75" hidden="1" x14ac:dyDescent="0.25">
      <c r="A1067" s="48">
        <v>1066</v>
      </c>
      <c r="B1067" s="49" t="s">
        <v>2196</v>
      </c>
      <c r="C1067" s="49" t="s">
        <v>2197</v>
      </c>
      <c r="D1067" s="53" t="s">
        <v>47</v>
      </c>
      <c r="E1067" s="53" t="s">
        <v>105</v>
      </c>
      <c r="F1067" s="45">
        <f t="shared" si="148"/>
        <v>60</v>
      </c>
      <c r="G1067" s="58">
        <f t="shared" si="147"/>
        <v>1</v>
      </c>
      <c r="N1067" s="3">
        <v>30</v>
      </c>
      <c r="P1067" s="3">
        <v>30</v>
      </c>
    </row>
    <row r="1068" spans="1:16" ht="15.75" hidden="1" x14ac:dyDescent="0.25">
      <c r="A1068" s="48">
        <v>1067</v>
      </c>
      <c r="B1068" s="49" t="s">
        <v>2198</v>
      </c>
      <c r="C1068" s="49" t="s">
        <v>2199</v>
      </c>
      <c r="D1068" s="53" t="s">
        <v>64</v>
      </c>
      <c r="E1068" s="53" t="s">
        <v>186</v>
      </c>
      <c r="F1068" s="45">
        <f t="shared" si="142"/>
        <v>0</v>
      </c>
      <c r="G1068" s="58">
        <f t="shared" si="147"/>
        <v>0</v>
      </c>
    </row>
    <row r="1069" spans="1:16" ht="15.75" hidden="1" x14ac:dyDescent="0.25">
      <c r="A1069" s="48">
        <v>1068</v>
      </c>
      <c r="B1069" s="49" t="s">
        <v>2200</v>
      </c>
      <c r="C1069" s="49" t="s">
        <v>2201</v>
      </c>
      <c r="D1069" s="53" t="s">
        <v>47</v>
      </c>
      <c r="E1069" s="53" t="s">
        <v>51</v>
      </c>
      <c r="F1069" s="45">
        <f t="shared" ref="F1069:F1083" si="149">SUM($H1069:$P1069)</f>
        <v>0</v>
      </c>
      <c r="G1069" s="58">
        <f t="shared" si="147"/>
        <v>0</v>
      </c>
    </row>
    <row r="1070" spans="1:16" ht="15.75" hidden="1" x14ac:dyDescent="0.25">
      <c r="A1070" s="48">
        <v>1069</v>
      </c>
      <c r="B1070" s="49" t="s">
        <v>2202</v>
      </c>
      <c r="C1070" s="49" t="s">
        <v>2203</v>
      </c>
      <c r="D1070" s="53" t="s">
        <v>47</v>
      </c>
      <c r="E1070" s="53" t="s">
        <v>48</v>
      </c>
      <c r="F1070" s="45">
        <f t="shared" si="149"/>
        <v>0</v>
      </c>
      <c r="G1070" s="58">
        <f t="shared" si="147"/>
        <v>0</v>
      </c>
    </row>
    <row r="1071" spans="1:16" ht="15.75" hidden="1" x14ac:dyDescent="0.25">
      <c r="A1071" s="48">
        <v>1070</v>
      </c>
      <c r="B1071" s="49" t="s">
        <v>2204</v>
      </c>
      <c r="C1071" s="49" t="s">
        <v>2205</v>
      </c>
      <c r="D1071" s="53" t="s">
        <v>47</v>
      </c>
      <c r="E1071" s="53" t="s">
        <v>56</v>
      </c>
      <c r="F1071" s="45">
        <f t="shared" si="149"/>
        <v>0</v>
      </c>
      <c r="G1071" s="58">
        <f t="shared" si="147"/>
        <v>0</v>
      </c>
    </row>
    <row r="1072" spans="1:16" ht="15.75" hidden="1" x14ac:dyDescent="0.25">
      <c r="A1072" s="48">
        <v>1071</v>
      </c>
      <c r="B1072" s="49" t="s">
        <v>2206</v>
      </c>
      <c r="C1072" s="49" t="s">
        <v>2207</v>
      </c>
      <c r="D1072" s="53" t="s">
        <v>47</v>
      </c>
      <c r="E1072" s="53" t="s">
        <v>51</v>
      </c>
      <c r="F1072" s="45">
        <f t="shared" si="149"/>
        <v>0</v>
      </c>
      <c r="G1072" s="58">
        <f t="shared" si="147"/>
        <v>0</v>
      </c>
    </row>
    <row r="1073" spans="1:16" ht="15.75" hidden="1" x14ac:dyDescent="0.25">
      <c r="A1073" s="48">
        <v>1072</v>
      </c>
      <c r="B1073" s="49" t="s">
        <v>2208</v>
      </c>
      <c r="C1073" s="49" t="s">
        <v>2209</v>
      </c>
      <c r="D1073" s="53" t="s">
        <v>47</v>
      </c>
      <c r="E1073" s="53" t="s">
        <v>48</v>
      </c>
      <c r="F1073" s="45">
        <f t="shared" si="149"/>
        <v>90</v>
      </c>
      <c r="G1073" s="58">
        <f t="shared" si="147"/>
        <v>1.5</v>
      </c>
      <c r="M1073" s="3">
        <v>30</v>
      </c>
      <c r="O1073" s="3">
        <v>30</v>
      </c>
      <c r="P1073" s="3">
        <v>30</v>
      </c>
    </row>
    <row r="1074" spans="1:16" ht="15.75" hidden="1" x14ac:dyDescent="0.25">
      <c r="A1074" s="48">
        <v>1073</v>
      </c>
      <c r="B1074" s="49" t="s">
        <v>2210</v>
      </c>
      <c r="C1074" s="49" t="s">
        <v>2211</v>
      </c>
      <c r="D1074" s="53" t="s">
        <v>47</v>
      </c>
      <c r="E1074" s="53" t="s">
        <v>105</v>
      </c>
      <c r="F1074" s="45">
        <f t="shared" si="149"/>
        <v>0</v>
      </c>
      <c r="G1074" s="58">
        <f t="shared" si="147"/>
        <v>0</v>
      </c>
    </row>
    <row r="1075" spans="1:16" ht="15.75" hidden="1" x14ac:dyDescent="0.25">
      <c r="A1075" s="48">
        <v>1074</v>
      </c>
      <c r="B1075" s="49" t="s">
        <v>2212</v>
      </c>
      <c r="C1075" s="49" t="s">
        <v>2213</v>
      </c>
      <c r="D1075" s="53" t="s">
        <v>47</v>
      </c>
      <c r="E1075" s="53" t="s">
        <v>51</v>
      </c>
      <c r="F1075" s="45">
        <f t="shared" si="149"/>
        <v>90</v>
      </c>
      <c r="G1075" s="58">
        <f t="shared" si="147"/>
        <v>1.5</v>
      </c>
      <c r="N1075" s="3">
        <v>30</v>
      </c>
      <c r="O1075" s="3">
        <v>30</v>
      </c>
      <c r="P1075" s="3">
        <v>30</v>
      </c>
    </row>
    <row r="1076" spans="1:16" ht="15.75" hidden="1" x14ac:dyDescent="0.25">
      <c r="A1076" s="48">
        <v>1075</v>
      </c>
      <c r="B1076" s="49" t="s">
        <v>2214</v>
      </c>
      <c r="C1076" s="49" t="s">
        <v>2215</v>
      </c>
      <c r="D1076" s="53" t="s">
        <v>47</v>
      </c>
      <c r="E1076" s="53" t="s">
        <v>48</v>
      </c>
      <c r="F1076" s="45">
        <f t="shared" si="149"/>
        <v>0</v>
      </c>
      <c r="G1076" s="58">
        <f t="shared" si="147"/>
        <v>0</v>
      </c>
    </row>
    <row r="1077" spans="1:16" ht="15.75" hidden="1" x14ac:dyDescent="0.25">
      <c r="A1077" s="48">
        <v>1076</v>
      </c>
      <c r="B1077" s="49" t="s">
        <v>2216</v>
      </c>
      <c r="C1077" s="49" t="s">
        <v>2217</v>
      </c>
      <c r="D1077" s="53" t="s">
        <v>47</v>
      </c>
      <c r="E1077" s="53" t="s">
        <v>48</v>
      </c>
      <c r="F1077" s="45">
        <f t="shared" si="149"/>
        <v>245</v>
      </c>
      <c r="G1077" s="58">
        <f t="shared" si="147"/>
        <v>4.083333333333333</v>
      </c>
      <c r="I1077" s="3">
        <v>35</v>
      </c>
      <c r="K1077" s="3">
        <v>90</v>
      </c>
      <c r="M1077" s="3">
        <v>30</v>
      </c>
      <c r="N1077" s="3">
        <v>30</v>
      </c>
      <c r="O1077" s="3">
        <v>30</v>
      </c>
      <c r="P1077" s="3">
        <v>30</v>
      </c>
    </row>
    <row r="1078" spans="1:16" ht="15.75" hidden="1" x14ac:dyDescent="0.25">
      <c r="A1078" s="48">
        <v>1077</v>
      </c>
      <c r="B1078" s="49" t="s">
        <v>2218</v>
      </c>
      <c r="C1078" s="49" t="s">
        <v>2219</v>
      </c>
      <c r="D1078" s="53" t="s">
        <v>47</v>
      </c>
      <c r="E1078" s="53" t="s">
        <v>51</v>
      </c>
      <c r="F1078" s="45">
        <f t="shared" si="149"/>
        <v>30</v>
      </c>
      <c r="G1078" s="58">
        <f t="shared" si="147"/>
        <v>0.5</v>
      </c>
      <c r="P1078" s="3">
        <v>30</v>
      </c>
    </row>
    <row r="1079" spans="1:16" ht="15.75" hidden="1" x14ac:dyDescent="0.25">
      <c r="A1079" s="48">
        <v>1078</v>
      </c>
      <c r="B1079" s="49" t="s">
        <v>2220</v>
      </c>
      <c r="C1079" s="49" t="s">
        <v>2221</v>
      </c>
      <c r="D1079" s="53" t="s">
        <v>47</v>
      </c>
      <c r="E1079" s="53" t="s">
        <v>116</v>
      </c>
      <c r="F1079" s="45">
        <f t="shared" si="149"/>
        <v>0</v>
      </c>
      <c r="G1079" s="58">
        <f t="shared" si="147"/>
        <v>0</v>
      </c>
    </row>
    <row r="1080" spans="1:16" ht="15.75" hidden="1" x14ac:dyDescent="0.25">
      <c r="A1080" s="48">
        <v>1079</v>
      </c>
      <c r="B1080" s="49" t="s">
        <v>2222</v>
      </c>
      <c r="C1080" s="49" t="s">
        <v>2223</v>
      </c>
      <c r="D1080" s="53" t="s">
        <v>47</v>
      </c>
      <c r="E1080" s="53" t="s">
        <v>56</v>
      </c>
      <c r="F1080" s="45">
        <f t="shared" si="149"/>
        <v>60</v>
      </c>
      <c r="G1080" s="58">
        <f t="shared" si="147"/>
        <v>1</v>
      </c>
      <c r="M1080" s="3">
        <v>30</v>
      </c>
      <c r="P1080" s="3">
        <v>30</v>
      </c>
    </row>
    <row r="1081" spans="1:16" ht="15.75" hidden="1" x14ac:dyDescent="0.25">
      <c r="A1081" s="48">
        <v>1080</v>
      </c>
      <c r="B1081" s="49" t="s">
        <v>2224</v>
      </c>
      <c r="C1081" s="49" t="s">
        <v>2225</v>
      </c>
      <c r="D1081" s="53" t="s">
        <v>47</v>
      </c>
      <c r="E1081" s="53" t="s">
        <v>56</v>
      </c>
      <c r="F1081" s="45">
        <f t="shared" si="149"/>
        <v>0</v>
      </c>
      <c r="G1081" s="58">
        <f t="shared" si="147"/>
        <v>0</v>
      </c>
    </row>
    <row r="1082" spans="1:16" ht="15.75" hidden="1" x14ac:dyDescent="0.25">
      <c r="A1082" s="48">
        <v>1081</v>
      </c>
      <c r="B1082" s="49" t="s">
        <v>2226</v>
      </c>
      <c r="C1082" s="49" t="s">
        <v>2227</v>
      </c>
      <c r="D1082" s="53" t="s">
        <v>47</v>
      </c>
      <c r="E1082" s="53" t="s">
        <v>48</v>
      </c>
      <c r="F1082" s="45">
        <f t="shared" si="149"/>
        <v>0</v>
      </c>
      <c r="G1082" s="58">
        <f t="shared" si="147"/>
        <v>0</v>
      </c>
    </row>
    <row r="1083" spans="1:16" ht="15.75" hidden="1" x14ac:dyDescent="0.25">
      <c r="A1083" s="48">
        <v>1082</v>
      </c>
      <c r="B1083" s="49" t="s">
        <v>2228</v>
      </c>
      <c r="C1083" s="49" t="s">
        <v>2229</v>
      </c>
      <c r="D1083" s="53" t="s">
        <v>47</v>
      </c>
      <c r="E1083" s="53" t="s">
        <v>48</v>
      </c>
      <c r="F1083" s="45">
        <f t="shared" si="149"/>
        <v>291</v>
      </c>
      <c r="G1083" s="58">
        <f t="shared" si="147"/>
        <v>4.8499999999999996</v>
      </c>
      <c r="H1083" s="3">
        <v>90</v>
      </c>
      <c r="I1083" s="3">
        <v>81</v>
      </c>
      <c r="M1083" s="3">
        <v>30</v>
      </c>
      <c r="N1083" s="3">
        <v>30</v>
      </c>
      <c r="O1083" s="3">
        <v>30</v>
      </c>
      <c r="P1083" s="3">
        <v>30</v>
      </c>
    </row>
    <row r="1084" spans="1:16" ht="15.75" hidden="1" x14ac:dyDescent="0.25">
      <c r="A1084" s="48">
        <v>1083</v>
      </c>
      <c r="B1084" s="49" t="s">
        <v>2230</v>
      </c>
      <c r="C1084" s="49" t="s">
        <v>2231</v>
      </c>
      <c r="D1084" s="53" t="s">
        <v>82</v>
      </c>
      <c r="E1084" s="53" t="s">
        <v>140</v>
      </c>
      <c r="F1084" s="45">
        <f t="shared" si="142"/>
        <v>0</v>
      </c>
      <c r="G1084" s="58">
        <f t="shared" si="147"/>
        <v>0</v>
      </c>
    </row>
    <row r="1085" spans="1:16" ht="15.75" hidden="1" x14ac:dyDescent="0.25">
      <c r="A1085" s="48">
        <v>1084</v>
      </c>
      <c r="B1085" s="49" t="s">
        <v>2232</v>
      </c>
      <c r="C1085" s="49" t="s">
        <v>2233</v>
      </c>
      <c r="D1085" s="53" t="s">
        <v>47</v>
      </c>
      <c r="E1085" s="53" t="s">
        <v>48</v>
      </c>
      <c r="F1085" s="45">
        <f t="shared" ref="F1085:F1090" si="150">SUM($H1085:$P1085)</f>
        <v>0</v>
      </c>
      <c r="G1085" s="58">
        <f t="shared" si="147"/>
        <v>0</v>
      </c>
    </row>
    <row r="1086" spans="1:16" ht="15.75" hidden="1" x14ac:dyDescent="0.25">
      <c r="A1086" s="48">
        <v>1085</v>
      </c>
      <c r="B1086" s="49" t="s">
        <v>2234</v>
      </c>
      <c r="C1086" s="49" t="s">
        <v>2235</v>
      </c>
      <c r="D1086" s="53" t="s">
        <v>47</v>
      </c>
      <c r="E1086" s="53" t="s">
        <v>76</v>
      </c>
      <c r="F1086" s="45">
        <f t="shared" si="150"/>
        <v>60</v>
      </c>
      <c r="G1086" s="58">
        <f t="shared" si="147"/>
        <v>1</v>
      </c>
      <c r="N1086" s="3">
        <v>30</v>
      </c>
      <c r="O1086" s="3">
        <v>30</v>
      </c>
    </row>
    <row r="1087" spans="1:16" ht="15.75" hidden="1" x14ac:dyDescent="0.25">
      <c r="A1087" s="48">
        <v>1086</v>
      </c>
      <c r="B1087" s="49" t="s">
        <v>2236</v>
      </c>
      <c r="C1087" s="49" t="s">
        <v>2237</v>
      </c>
      <c r="D1087" s="53" t="s">
        <v>47</v>
      </c>
      <c r="E1087" s="53" t="s">
        <v>116</v>
      </c>
      <c r="F1087" s="45">
        <f t="shared" si="150"/>
        <v>0</v>
      </c>
      <c r="G1087" s="58">
        <f t="shared" si="147"/>
        <v>0</v>
      </c>
    </row>
    <row r="1088" spans="1:16" ht="15.75" hidden="1" x14ac:dyDescent="0.25">
      <c r="A1088" s="48">
        <v>1087</v>
      </c>
      <c r="B1088" s="49" t="s">
        <v>2238</v>
      </c>
      <c r="C1088" s="49" t="s">
        <v>2239</v>
      </c>
      <c r="D1088" s="53" t="s">
        <v>47</v>
      </c>
      <c r="E1088" s="53" t="s">
        <v>79</v>
      </c>
      <c r="F1088" s="45">
        <f t="shared" si="150"/>
        <v>0</v>
      </c>
      <c r="G1088" s="58">
        <f t="shared" si="147"/>
        <v>0</v>
      </c>
    </row>
    <row r="1089" spans="1:16" ht="15.75" hidden="1" x14ac:dyDescent="0.25">
      <c r="A1089" s="48">
        <v>1088</v>
      </c>
      <c r="B1089" s="49" t="s">
        <v>2240</v>
      </c>
      <c r="C1089" s="49" t="s">
        <v>2241</v>
      </c>
      <c r="D1089" s="53" t="s">
        <v>47</v>
      </c>
      <c r="E1089" s="53" t="s">
        <v>51</v>
      </c>
      <c r="F1089" s="45">
        <f t="shared" si="150"/>
        <v>0</v>
      </c>
      <c r="G1089" s="58">
        <f t="shared" si="147"/>
        <v>0</v>
      </c>
    </row>
    <row r="1090" spans="1:16" ht="15.75" hidden="1" x14ac:dyDescent="0.25">
      <c r="A1090" s="48">
        <v>1089</v>
      </c>
      <c r="B1090" s="49" t="s">
        <v>2242</v>
      </c>
      <c r="C1090" s="49" t="s">
        <v>2243</v>
      </c>
      <c r="D1090" s="53" t="s">
        <v>47</v>
      </c>
      <c r="E1090" s="53" t="s">
        <v>51</v>
      </c>
      <c r="F1090" s="45">
        <f t="shared" si="150"/>
        <v>0</v>
      </c>
      <c r="G1090" s="58">
        <f t="shared" si="147"/>
        <v>0</v>
      </c>
    </row>
    <row r="1091" spans="1:16" ht="15.75" hidden="1" x14ac:dyDescent="0.25">
      <c r="A1091" s="48">
        <v>1090</v>
      </c>
      <c r="B1091" s="49" t="s">
        <v>2244</v>
      </c>
      <c r="C1091" s="49" t="s">
        <v>2245</v>
      </c>
      <c r="D1091" s="53" t="s">
        <v>123</v>
      </c>
      <c r="E1091" s="53" t="s">
        <v>123</v>
      </c>
      <c r="F1091" s="45">
        <f t="shared" ref="F1091:F1145" si="151">SUM($H1091:$K1091)</f>
        <v>0</v>
      </c>
      <c r="G1091" s="57"/>
      <c r="M1091"/>
      <c r="N1091"/>
      <c r="O1091"/>
      <c r="P1091"/>
    </row>
    <row r="1092" spans="1:16" ht="15.75" hidden="1" x14ac:dyDescent="0.25">
      <c r="A1092" s="48">
        <v>1091</v>
      </c>
      <c r="B1092" s="49" t="s">
        <v>2246</v>
      </c>
      <c r="C1092" s="49" t="s">
        <v>2247</v>
      </c>
      <c r="D1092" s="53" t="s">
        <v>47</v>
      </c>
      <c r="E1092" s="53" t="s">
        <v>56</v>
      </c>
      <c r="F1092" s="45">
        <f t="shared" ref="F1092:F1107" si="152">SUM($H1092:$P1092)</f>
        <v>210</v>
      </c>
      <c r="G1092" s="58">
        <f t="shared" ref="G1092:G1126" si="153">F1092/60</f>
        <v>3.5</v>
      </c>
      <c r="H1092" s="3">
        <v>90</v>
      </c>
      <c r="K1092" s="3">
        <v>90</v>
      </c>
      <c r="N1092" s="3">
        <v>30</v>
      </c>
    </row>
    <row r="1093" spans="1:16" ht="15.75" hidden="1" x14ac:dyDescent="0.25">
      <c r="A1093" s="48">
        <v>1092</v>
      </c>
      <c r="B1093" s="49" t="s">
        <v>2248</v>
      </c>
      <c r="C1093" s="49" t="s">
        <v>2249</v>
      </c>
      <c r="D1093" s="53" t="s">
        <v>47</v>
      </c>
      <c r="E1093" s="53" t="s">
        <v>116</v>
      </c>
      <c r="F1093" s="45">
        <f t="shared" si="152"/>
        <v>60</v>
      </c>
      <c r="G1093" s="58">
        <f t="shared" si="153"/>
        <v>1</v>
      </c>
      <c r="O1093" s="3">
        <v>30</v>
      </c>
      <c r="P1093" s="3">
        <v>30</v>
      </c>
    </row>
    <row r="1094" spans="1:16" ht="15.75" hidden="1" x14ac:dyDescent="0.25">
      <c r="A1094" s="48">
        <v>1093</v>
      </c>
      <c r="B1094" s="49" t="s">
        <v>2250</v>
      </c>
      <c r="C1094" s="49" t="s">
        <v>2251</v>
      </c>
      <c r="D1094" s="53" t="s">
        <v>47</v>
      </c>
      <c r="E1094" s="53" t="s">
        <v>51</v>
      </c>
      <c r="F1094" s="45">
        <f t="shared" si="152"/>
        <v>0</v>
      </c>
      <c r="G1094" s="58">
        <f t="shared" si="153"/>
        <v>0</v>
      </c>
    </row>
    <row r="1095" spans="1:16" ht="15.75" hidden="1" x14ac:dyDescent="0.25">
      <c r="A1095" s="48">
        <v>1094</v>
      </c>
      <c r="B1095" s="49" t="s">
        <v>2252</v>
      </c>
      <c r="C1095" s="49" t="s">
        <v>2253</v>
      </c>
      <c r="D1095" s="53" t="s">
        <v>47</v>
      </c>
      <c r="E1095" s="53" t="s">
        <v>48</v>
      </c>
      <c r="F1095" s="45">
        <f t="shared" si="152"/>
        <v>60</v>
      </c>
      <c r="G1095" s="58">
        <f t="shared" si="153"/>
        <v>1</v>
      </c>
      <c r="O1095" s="3">
        <v>30</v>
      </c>
      <c r="P1095" s="3">
        <v>30</v>
      </c>
    </row>
    <row r="1096" spans="1:16" ht="15.75" hidden="1" x14ac:dyDescent="0.25">
      <c r="A1096" s="48">
        <v>1095</v>
      </c>
      <c r="B1096" s="49" t="s">
        <v>2254</v>
      </c>
      <c r="C1096" s="49" t="s">
        <v>2255</v>
      </c>
      <c r="D1096" s="53" t="s">
        <v>47</v>
      </c>
      <c r="E1096" s="53" t="s">
        <v>51</v>
      </c>
      <c r="F1096" s="45">
        <f t="shared" si="152"/>
        <v>30</v>
      </c>
      <c r="G1096" s="58">
        <f t="shared" si="153"/>
        <v>0.5</v>
      </c>
      <c r="P1096" s="3">
        <v>30</v>
      </c>
    </row>
    <row r="1097" spans="1:16" ht="15.75" hidden="1" x14ac:dyDescent="0.25">
      <c r="A1097" s="48">
        <v>1096</v>
      </c>
      <c r="B1097" s="49" t="s">
        <v>2256</v>
      </c>
      <c r="C1097" s="49" t="s">
        <v>2257</v>
      </c>
      <c r="D1097" s="53" t="s">
        <v>47</v>
      </c>
      <c r="E1097" s="53" t="s">
        <v>79</v>
      </c>
      <c r="F1097" s="45">
        <f t="shared" si="152"/>
        <v>0</v>
      </c>
      <c r="G1097" s="58">
        <f t="shared" si="153"/>
        <v>0</v>
      </c>
    </row>
    <row r="1098" spans="1:16" ht="15.75" hidden="1" x14ac:dyDescent="0.25">
      <c r="A1098" s="48">
        <v>1097</v>
      </c>
      <c r="B1098" s="49" t="s">
        <v>2258</v>
      </c>
      <c r="C1098" s="49" t="s">
        <v>2259</v>
      </c>
      <c r="D1098" s="53" t="s">
        <v>47</v>
      </c>
      <c r="E1098" s="53" t="s">
        <v>51</v>
      </c>
      <c r="F1098" s="45">
        <f t="shared" si="152"/>
        <v>443</v>
      </c>
      <c r="G1098" s="58">
        <f t="shared" si="153"/>
        <v>7.3833333333333337</v>
      </c>
      <c r="H1098" s="3">
        <v>90</v>
      </c>
      <c r="I1098" s="3">
        <v>83</v>
      </c>
      <c r="J1098" s="3">
        <v>60</v>
      </c>
      <c r="K1098" s="3">
        <v>90</v>
      </c>
      <c r="M1098" s="3">
        <v>30</v>
      </c>
      <c r="N1098" s="3">
        <v>30</v>
      </c>
      <c r="O1098" s="3">
        <v>30</v>
      </c>
      <c r="P1098" s="3">
        <v>30</v>
      </c>
    </row>
    <row r="1099" spans="1:16" ht="15.75" hidden="1" x14ac:dyDescent="0.25">
      <c r="A1099" s="48">
        <v>1098</v>
      </c>
      <c r="B1099" s="49" t="s">
        <v>2260</v>
      </c>
      <c r="C1099" s="49" t="s">
        <v>2261</v>
      </c>
      <c r="D1099" s="53" t="s">
        <v>47</v>
      </c>
      <c r="E1099" s="53" t="s">
        <v>105</v>
      </c>
      <c r="F1099" s="45">
        <f t="shared" si="152"/>
        <v>0</v>
      </c>
      <c r="G1099" s="58">
        <f t="shared" si="153"/>
        <v>0</v>
      </c>
    </row>
    <row r="1100" spans="1:16" ht="15.75" hidden="1" x14ac:dyDescent="0.25">
      <c r="A1100" s="48">
        <v>1099</v>
      </c>
      <c r="B1100" s="49" t="s">
        <v>2262</v>
      </c>
      <c r="C1100" s="49" t="s">
        <v>2263</v>
      </c>
      <c r="D1100" s="53" t="s">
        <v>47</v>
      </c>
      <c r="E1100" s="53" t="s">
        <v>48</v>
      </c>
      <c r="F1100" s="45">
        <f t="shared" si="152"/>
        <v>0</v>
      </c>
      <c r="G1100" s="58">
        <f t="shared" si="153"/>
        <v>0</v>
      </c>
    </row>
    <row r="1101" spans="1:16" ht="15.75" hidden="1" x14ac:dyDescent="0.25">
      <c r="A1101" s="48">
        <v>1100</v>
      </c>
      <c r="B1101" s="49" t="s">
        <v>2264</v>
      </c>
      <c r="C1101" s="49" t="s">
        <v>2265</v>
      </c>
      <c r="D1101" s="53" t="s">
        <v>47</v>
      </c>
      <c r="E1101" s="53" t="s">
        <v>86</v>
      </c>
      <c r="F1101" s="45">
        <f t="shared" si="152"/>
        <v>0</v>
      </c>
      <c r="G1101" s="58">
        <f t="shared" si="153"/>
        <v>0</v>
      </c>
    </row>
    <row r="1102" spans="1:16" ht="15.75" hidden="1" x14ac:dyDescent="0.25">
      <c r="A1102" s="48">
        <v>1101</v>
      </c>
      <c r="B1102" s="49" t="s">
        <v>2266</v>
      </c>
      <c r="C1102" s="49" t="s">
        <v>2267</v>
      </c>
      <c r="D1102" s="53" t="s">
        <v>47</v>
      </c>
      <c r="E1102" s="53" t="s">
        <v>48</v>
      </c>
      <c r="F1102" s="45">
        <f t="shared" si="152"/>
        <v>90</v>
      </c>
      <c r="G1102" s="58">
        <f t="shared" si="153"/>
        <v>1.5</v>
      </c>
      <c r="M1102" s="3">
        <v>30</v>
      </c>
      <c r="O1102" s="3">
        <v>30</v>
      </c>
      <c r="P1102" s="3">
        <v>30</v>
      </c>
    </row>
    <row r="1103" spans="1:16" ht="15.75" hidden="1" x14ac:dyDescent="0.25">
      <c r="A1103" s="48">
        <v>1102</v>
      </c>
      <c r="B1103" s="49" t="s">
        <v>2268</v>
      </c>
      <c r="C1103" s="49" t="s">
        <v>2269</v>
      </c>
      <c r="D1103" s="53" t="s">
        <v>47</v>
      </c>
      <c r="E1103" s="53" t="s">
        <v>105</v>
      </c>
      <c r="F1103" s="45">
        <f t="shared" si="152"/>
        <v>0</v>
      </c>
      <c r="G1103" s="58">
        <f t="shared" si="153"/>
        <v>0</v>
      </c>
    </row>
    <row r="1104" spans="1:16" ht="15.75" hidden="1" x14ac:dyDescent="0.25">
      <c r="A1104" s="48">
        <v>1103</v>
      </c>
      <c r="B1104" s="49" t="s">
        <v>2270</v>
      </c>
      <c r="C1104" s="49" t="s">
        <v>2271</v>
      </c>
      <c r="D1104" s="53" t="s">
        <v>47</v>
      </c>
      <c r="E1104" s="53" t="s">
        <v>105</v>
      </c>
      <c r="F1104" s="45">
        <f t="shared" si="152"/>
        <v>90</v>
      </c>
      <c r="G1104" s="58">
        <f t="shared" si="153"/>
        <v>1.5</v>
      </c>
      <c r="N1104" s="3">
        <v>30</v>
      </c>
      <c r="O1104" s="3">
        <v>30</v>
      </c>
      <c r="P1104" s="3">
        <v>30</v>
      </c>
    </row>
    <row r="1105" spans="1:16" ht="15.75" hidden="1" x14ac:dyDescent="0.25">
      <c r="A1105" s="48">
        <v>1104</v>
      </c>
      <c r="B1105" s="49" t="s">
        <v>2272</v>
      </c>
      <c r="C1105" s="49" t="s">
        <v>2273</v>
      </c>
      <c r="D1105" s="53" t="s">
        <v>47</v>
      </c>
      <c r="E1105" s="53" t="s">
        <v>105</v>
      </c>
      <c r="F1105" s="45">
        <f t="shared" si="152"/>
        <v>90</v>
      </c>
      <c r="G1105" s="58">
        <f t="shared" si="153"/>
        <v>1.5</v>
      </c>
      <c r="N1105" s="3">
        <v>30</v>
      </c>
      <c r="O1105" s="3">
        <v>30</v>
      </c>
      <c r="P1105" s="3">
        <v>30</v>
      </c>
    </row>
    <row r="1106" spans="1:16" ht="15.75" hidden="1" x14ac:dyDescent="0.25">
      <c r="A1106" s="48">
        <v>1105</v>
      </c>
      <c r="B1106" s="49" t="s">
        <v>2274</v>
      </c>
      <c r="C1106" s="49" t="s">
        <v>2275</v>
      </c>
      <c r="D1106" s="53" t="s">
        <v>47</v>
      </c>
      <c r="E1106" s="53" t="s">
        <v>56</v>
      </c>
      <c r="F1106" s="45">
        <f t="shared" si="152"/>
        <v>106</v>
      </c>
      <c r="G1106" s="58">
        <f t="shared" si="153"/>
        <v>1.7666666666666666</v>
      </c>
      <c r="I1106" s="3">
        <v>76</v>
      </c>
      <c r="P1106" s="3">
        <v>30</v>
      </c>
    </row>
    <row r="1107" spans="1:16" ht="15.75" hidden="1" x14ac:dyDescent="0.25">
      <c r="A1107" s="48">
        <v>1106</v>
      </c>
      <c r="B1107" s="49" t="s">
        <v>2276</v>
      </c>
      <c r="C1107" s="49" t="s">
        <v>2277</v>
      </c>
      <c r="D1107" s="53" t="s">
        <v>47</v>
      </c>
      <c r="E1107" s="53" t="s">
        <v>48</v>
      </c>
      <c r="F1107" s="45">
        <f t="shared" si="152"/>
        <v>0</v>
      </c>
      <c r="G1107" s="58">
        <f t="shared" si="153"/>
        <v>0</v>
      </c>
    </row>
    <row r="1108" spans="1:16" ht="15.75" hidden="1" x14ac:dyDescent="0.25">
      <c r="A1108" s="48">
        <v>1107</v>
      </c>
      <c r="B1108" s="49" t="s">
        <v>2278</v>
      </c>
      <c r="C1108" s="49" t="s">
        <v>2279</v>
      </c>
      <c r="D1108" s="53" t="s">
        <v>64</v>
      </c>
      <c r="E1108" s="53" t="s">
        <v>65</v>
      </c>
      <c r="F1108" s="45">
        <f t="shared" si="151"/>
        <v>148</v>
      </c>
      <c r="G1108" s="58">
        <f t="shared" si="153"/>
        <v>2.4666666666666668</v>
      </c>
      <c r="I1108" s="3">
        <v>58</v>
      </c>
      <c r="K1108" s="3">
        <v>90</v>
      </c>
    </row>
    <row r="1109" spans="1:16" ht="15.75" hidden="1" x14ac:dyDescent="0.25">
      <c r="A1109" s="48">
        <v>1108</v>
      </c>
      <c r="B1109" s="49" t="s">
        <v>2280</v>
      </c>
      <c r="C1109" s="49" t="s">
        <v>2281</v>
      </c>
      <c r="D1109" s="53" t="s">
        <v>47</v>
      </c>
      <c r="E1109" s="53" t="s">
        <v>76</v>
      </c>
      <c r="F1109" s="45">
        <f t="shared" ref="F1109:F1114" si="154">SUM($H1109:$P1109)</f>
        <v>30</v>
      </c>
      <c r="G1109" s="58">
        <f t="shared" si="153"/>
        <v>0.5</v>
      </c>
      <c r="M1109" s="3">
        <v>30</v>
      </c>
    </row>
    <row r="1110" spans="1:16" ht="15.75" hidden="1" x14ac:dyDescent="0.25">
      <c r="A1110" s="48">
        <v>1109</v>
      </c>
      <c r="B1110" s="49" t="s">
        <v>2282</v>
      </c>
      <c r="C1110" s="49" t="s">
        <v>2283</v>
      </c>
      <c r="D1110" s="53" t="s">
        <v>47</v>
      </c>
      <c r="E1110" s="53" t="s">
        <v>48</v>
      </c>
      <c r="F1110" s="45">
        <f t="shared" si="154"/>
        <v>0</v>
      </c>
      <c r="G1110" s="58">
        <f t="shared" si="153"/>
        <v>0</v>
      </c>
    </row>
    <row r="1111" spans="1:16" ht="15.75" hidden="1" x14ac:dyDescent="0.25">
      <c r="A1111" s="48">
        <v>1110</v>
      </c>
      <c r="B1111" s="49" t="s">
        <v>2284</v>
      </c>
      <c r="C1111" s="49" t="s">
        <v>2285</v>
      </c>
      <c r="D1111" s="53" t="s">
        <v>47</v>
      </c>
      <c r="E1111" s="53" t="s">
        <v>48</v>
      </c>
      <c r="F1111" s="45">
        <f t="shared" si="154"/>
        <v>0</v>
      </c>
      <c r="G1111" s="58">
        <f t="shared" si="153"/>
        <v>0</v>
      </c>
    </row>
    <row r="1112" spans="1:16" ht="15.75" hidden="1" x14ac:dyDescent="0.25">
      <c r="A1112" s="48">
        <v>1111</v>
      </c>
      <c r="B1112" s="49" t="s">
        <v>2286</v>
      </c>
      <c r="C1112" s="49" t="s">
        <v>2287</v>
      </c>
      <c r="D1112" s="53" t="s">
        <v>47</v>
      </c>
      <c r="E1112" s="53" t="s">
        <v>76</v>
      </c>
      <c r="F1112" s="45">
        <f t="shared" si="154"/>
        <v>111</v>
      </c>
      <c r="G1112" s="58">
        <f t="shared" si="153"/>
        <v>1.85</v>
      </c>
      <c r="I1112" s="3">
        <v>81</v>
      </c>
      <c r="O1112" s="3">
        <v>30</v>
      </c>
    </row>
    <row r="1113" spans="1:16" ht="15.75" hidden="1" x14ac:dyDescent="0.25">
      <c r="A1113" s="48">
        <v>1112</v>
      </c>
      <c r="B1113" s="49" t="s">
        <v>2288</v>
      </c>
      <c r="C1113" s="49" t="s">
        <v>2289</v>
      </c>
      <c r="D1113" s="53" t="s">
        <v>47</v>
      </c>
      <c r="E1113" s="53" t="s">
        <v>51</v>
      </c>
      <c r="F1113" s="45">
        <f t="shared" si="154"/>
        <v>0</v>
      </c>
      <c r="G1113" s="58">
        <f t="shared" si="153"/>
        <v>0</v>
      </c>
    </row>
    <row r="1114" spans="1:16" ht="15.75" hidden="1" x14ac:dyDescent="0.25">
      <c r="A1114" s="48">
        <v>1113</v>
      </c>
      <c r="B1114" s="49" t="s">
        <v>2290</v>
      </c>
      <c r="C1114" s="49" t="s">
        <v>2291</v>
      </c>
      <c r="D1114" s="53" t="s">
        <v>47</v>
      </c>
      <c r="E1114" s="53" t="s">
        <v>61</v>
      </c>
      <c r="F1114" s="45">
        <f t="shared" si="154"/>
        <v>0</v>
      </c>
      <c r="G1114" s="58">
        <f t="shared" si="153"/>
        <v>0</v>
      </c>
    </row>
    <row r="1115" spans="1:16" ht="15.75" hidden="1" x14ac:dyDescent="0.25">
      <c r="A1115" s="48">
        <v>1114</v>
      </c>
      <c r="B1115" s="49" t="s">
        <v>2292</v>
      </c>
      <c r="C1115" s="49" t="s">
        <v>2293</v>
      </c>
      <c r="D1115" s="53" t="s">
        <v>82</v>
      </c>
      <c r="E1115" s="53" t="s">
        <v>140</v>
      </c>
      <c r="F1115" s="45">
        <f t="shared" si="151"/>
        <v>0</v>
      </c>
      <c r="G1115" s="58">
        <f t="shared" si="153"/>
        <v>0</v>
      </c>
    </row>
    <row r="1116" spans="1:16" ht="15.75" hidden="1" x14ac:dyDescent="0.25">
      <c r="A1116" s="48">
        <v>1115</v>
      </c>
      <c r="B1116" s="49" t="s">
        <v>2294</v>
      </c>
      <c r="C1116" s="49" t="s">
        <v>2295</v>
      </c>
      <c r="D1116" s="53" t="s">
        <v>47</v>
      </c>
      <c r="E1116" s="53" t="s">
        <v>116</v>
      </c>
      <c r="F1116" s="45">
        <f t="shared" ref="F1116:F1126" si="155">SUM($H1116:$P1116)</f>
        <v>30</v>
      </c>
      <c r="G1116" s="58">
        <f t="shared" si="153"/>
        <v>0.5</v>
      </c>
      <c r="P1116" s="3">
        <v>30</v>
      </c>
    </row>
    <row r="1117" spans="1:16" ht="15.75" hidden="1" x14ac:dyDescent="0.25">
      <c r="A1117" s="48">
        <v>1116</v>
      </c>
      <c r="B1117" s="49" t="s">
        <v>2296</v>
      </c>
      <c r="C1117" s="49" t="s">
        <v>2297</v>
      </c>
      <c r="D1117" s="53" t="s">
        <v>47</v>
      </c>
      <c r="E1117" s="53" t="s">
        <v>79</v>
      </c>
      <c r="F1117" s="45">
        <f t="shared" si="155"/>
        <v>0</v>
      </c>
      <c r="G1117" s="58">
        <f t="shared" si="153"/>
        <v>0</v>
      </c>
    </row>
    <row r="1118" spans="1:16" ht="15.75" hidden="1" x14ac:dyDescent="0.25">
      <c r="A1118" s="48">
        <v>1117</v>
      </c>
      <c r="B1118" s="49" t="s">
        <v>2298</v>
      </c>
      <c r="C1118" s="49" t="s">
        <v>2299</v>
      </c>
      <c r="D1118" s="53" t="s">
        <v>47</v>
      </c>
      <c r="E1118" s="53" t="s">
        <v>105</v>
      </c>
      <c r="F1118" s="45">
        <f t="shared" si="155"/>
        <v>0</v>
      </c>
      <c r="G1118" s="58">
        <f t="shared" si="153"/>
        <v>0</v>
      </c>
    </row>
    <row r="1119" spans="1:16" ht="15.75" hidden="1" x14ac:dyDescent="0.25">
      <c r="A1119" s="48">
        <v>1118</v>
      </c>
      <c r="B1119" s="49" t="s">
        <v>2300</v>
      </c>
      <c r="C1119" s="49" t="s">
        <v>2301</v>
      </c>
      <c r="D1119" s="53" t="s">
        <v>47</v>
      </c>
      <c r="E1119" s="53" t="s">
        <v>48</v>
      </c>
      <c r="F1119" s="45">
        <f t="shared" si="155"/>
        <v>0</v>
      </c>
      <c r="G1119" s="58">
        <f t="shared" si="153"/>
        <v>0</v>
      </c>
    </row>
    <row r="1120" spans="1:16" ht="15.75" hidden="1" x14ac:dyDescent="0.25">
      <c r="A1120" s="48">
        <v>1119</v>
      </c>
      <c r="B1120" s="49" t="s">
        <v>2302</v>
      </c>
      <c r="C1120" s="49" t="s">
        <v>2303</v>
      </c>
      <c r="D1120" s="53" t="s">
        <v>47</v>
      </c>
      <c r="E1120" s="53" t="s">
        <v>105</v>
      </c>
      <c r="F1120" s="45">
        <f t="shared" si="155"/>
        <v>192</v>
      </c>
      <c r="G1120" s="58">
        <f t="shared" si="153"/>
        <v>3.2</v>
      </c>
      <c r="H1120" s="3">
        <v>90</v>
      </c>
      <c r="I1120" s="3">
        <v>42</v>
      </c>
      <c r="N1120" s="3">
        <v>30</v>
      </c>
      <c r="P1120" s="3">
        <v>30</v>
      </c>
    </row>
    <row r="1121" spans="1:16" ht="15.75" hidden="1" x14ac:dyDescent="0.25">
      <c r="A1121" s="48">
        <v>1120</v>
      </c>
      <c r="B1121" s="49" t="s">
        <v>2304</v>
      </c>
      <c r="C1121" s="49" t="s">
        <v>2305</v>
      </c>
      <c r="D1121" s="53" t="s">
        <v>47</v>
      </c>
      <c r="E1121" s="53" t="s">
        <v>105</v>
      </c>
      <c r="F1121" s="45">
        <f t="shared" si="155"/>
        <v>0</v>
      </c>
      <c r="G1121" s="58">
        <f t="shared" si="153"/>
        <v>0</v>
      </c>
    </row>
    <row r="1122" spans="1:16" ht="15.75" hidden="1" x14ac:dyDescent="0.25">
      <c r="A1122" s="48">
        <v>1121</v>
      </c>
      <c r="B1122" s="49" t="s">
        <v>2306</v>
      </c>
      <c r="C1122" s="49" t="s">
        <v>2307</v>
      </c>
      <c r="D1122" s="53" t="s">
        <v>47</v>
      </c>
      <c r="E1122" s="53" t="s">
        <v>51</v>
      </c>
      <c r="F1122" s="45">
        <f t="shared" si="155"/>
        <v>0</v>
      </c>
      <c r="G1122" s="58">
        <f t="shared" si="153"/>
        <v>0</v>
      </c>
    </row>
    <row r="1123" spans="1:16" ht="15.75" hidden="1" x14ac:dyDescent="0.25">
      <c r="A1123" s="48">
        <v>1122</v>
      </c>
      <c r="B1123" s="49" t="s">
        <v>2308</v>
      </c>
      <c r="C1123" s="49" t="s">
        <v>2309</v>
      </c>
      <c r="D1123" s="53" t="s">
        <v>47</v>
      </c>
      <c r="E1123" s="53" t="s">
        <v>51</v>
      </c>
      <c r="F1123" s="45">
        <f t="shared" si="155"/>
        <v>150</v>
      </c>
      <c r="G1123" s="58">
        <f t="shared" si="153"/>
        <v>2.5</v>
      </c>
      <c r="H1123" s="3">
        <v>90</v>
      </c>
      <c r="O1123" s="3">
        <v>30</v>
      </c>
      <c r="P1123" s="3">
        <v>30</v>
      </c>
    </row>
    <row r="1124" spans="1:16" ht="15.75" hidden="1" x14ac:dyDescent="0.25">
      <c r="A1124" s="48">
        <v>1123</v>
      </c>
      <c r="B1124" s="49" t="s">
        <v>2310</v>
      </c>
      <c r="C1124" s="49" t="s">
        <v>2311</v>
      </c>
      <c r="D1124" s="53" t="s">
        <v>47</v>
      </c>
      <c r="E1124" s="53" t="s">
        <v>48</v>
      </c>
      <c r="F1124" s="45">
        <f t="shared" si="155"/>
        <v>0</v>
      </c>
      <c r="G1124" s="58">
        <f t="shared" si="153"/>
        <v>0</v>
      </c>
    </row>
    <row r="1125" spans="1:16" ht="15.75" hidden="1" x14ac:dyDescent="0.25">
      <c r="A1125" s="48">
        <v>1124</v>
      </c>
      <c r="B1125" s="49" t="s">
        <v>2312</v>
      </c>
      <c r="C1125" s="49" t="s">
        <v>2313</v>
      </c>
      <c r="D1125" s="53" t="s">
        <v>47</v>
      </c>
      <c r="E1125" s="53" t="s">
        <v>51</v>
      </c>
      <c r="F1125" s="45">
        <f t="shared" si="155"/>
        <v>0</v>
      </c>
      <c r="G1125" s="58">
        <f t="shared" si="153"/>
        <v>0</v>
      </c>
    </row>
    <row r="1126" spans="1:16" ht="15.75" hidden="1" x14ac:dyDescent="0.25">
      <c r="A1126" s="48">
        <v>1125</v>
      </c>
      <c r="B1126" s="49" t="s">
        <v>2314</v>
      </c>
      <c r="C1126" s="49" t="s">
        <v>2315</v>
      </c>
      <c r="D1126" s="53" t="s">
        <v>47</v>
      </c>
      <c r="E1126" s="53" t="s">
        <v>51</v>
      </c>
      <c r="F1126" s="45">
        <f t="shared" si="155"/>
        <v>120</v>
      </c>
      <c r="G1126" s="58">
        <f t="shared" si="153"/>
        <v>2</v>
      </c>
      <c r="H1126" s="3">
        <v>90</v>
      </c>
      <c r="N1126" s="3">
        <v>30</v>
      </c>
    </row>
    <row r="1127" spans="1:16" ht="15.75" hidden="1" x14ac:dyDescent="0.25">
      <c r="A1127" s="48">
        <v>1126</v>
      </c>
      <c r="B1127" s="49" t="s">
        <v>2316</v>
      </c>
      <c r="C1127" s="49" t="s">
        <v>2317</v>
      </c>
      <c r="D1127" s="53" t="s">
        <v>123</v>
      </c>
      <c r="E1127" s="53" t="s">
        <v>123</v>
      </c>
      <c r="F1127" s="45">
        <f t="shared" si="151"/>
        <v>0</v>
      </c>
      <c r="G1127" s="57"/>
      <c r="M1127"/>
      <c r="N1127"/>
      <c r="O1127"/>
      <c r="P1127"/>
    </row>
    <row r="1128" spans="1:16" ht="15.75" hidden="1" x14ac:dyDescent="0.25">
      <c r="A1128" s="48">
        <v>1127</v>
      </c>
      <c r="B1128" s="49" t="s">
        <v>2318</v>
      </c>
      <c r="C1128" s="49" t="s">
        <v>2319</v>
      </c>
      <c r="D1128" s="53" t="s">
        <v>47</v>
      </c>
      <c r="E1128" s="53" t="s">
        <v>984</v>
      </c>
      <c r="F1128" s="45">
        <f>SUM($H1128:$P1128)</f>
        <v>360</v>
      </c>
      <c r="G1128" s="58">
        <f>F1128/60</f>
        <v>6</v>
      </c>
      <c r="H1128" s="3">
        <v>90</v>
      </c>
      <c r="J1128" s="3">
        <v>60</v>
      </c>
      <c r="K1128" s="3">
        <v>90</v>
      </c>
      <c r="M1128" s="3">
        <v>30</v>
      </c>
      <c r="N1128" s="3">
        <v>30</v>
      </c>
      <c r="O1128" s="3">
        <v>30</v>
      </c>
      <c r="P1128" s="3">
        <v>30</v>
      </c>
    </row>
    <row r="1129" spans="1:16" ht="15.75" hidden="1" x14ac:dyDescent="0.25">
      <c r="A1129" s="48">
        <v>1128</v>
      </c>
      <c r="B1129" s="49" t="s">
        <v>2320</v>
      </c>
      <c r="C1129" s="49" t="s">
        <v>2321</v>
      </c>
      <c r="D1129" s="53" t="s">
        <v>123</v>
      </c>
      <c r="E1129" s="53" t="s">
        <v>123</v>
      </c>
      <c r="F1129" s="45">
        <f t="shared" si="151"/>
        <v>0</v>
      </c>
      <c r="G1129" s="57"/>
      <c r="M1129"/>
      <c r="N1129"/>
      <c r="O1129"/>
      <c r="P1129"/>
    </row>
    <row r="1130" spans="1:16" ht="15.75" hidden="1" x14ac:dyDescent="0.25">
      <c r="A1130" s="48">
        <v>1129</v>
      </c>
      <c r="B1130" s="49" t="s">
        <v>2322</v>
      </c>
      <c r="C1130" s="49" t="s">
        <v>2323</v>
      </c>
      <c r="D1130" s="53" t="s">
        <v>47</v>
      </c>
      <c r="E1130" s="53" t="s">
        <v>56</v>
      </c>
      <c r="F1130" s="45">
        <f t="shared" ref="F1130:F1144" si="156">SUM($H1130:$P1130)</f>
        <v>0</v>
      </c>
      <c r="G1130" s="58">
        <f t="shared" ref="G1130:G1193" si="157">F1130/60</f>
        <v>0</v>
      </c>
    </row>
    <row r="1131" spans="1:16" ht="15.75" hidden="1" x14ac:dyDescent="0.25">
      <c r="A1131" s="48">
        <v>1130</v>
      </c>
      <c r="B1131" s="49" t="s">
        <v>2324</v>
      </c>
      <c r="C1131" s="49" t="s">
        <v>2325</v>
      </c>
      <c r="D1131" s="53" t="s">
        <v>47</v>
      </c>
      <c r="E1131" s="53" t="s">
        <v>48</v>
      </c>
      <c r="F1131" s="45">
        <f t="shared" si="156"/>
        <v>0</v>
      </c>
      <c r="G1131" s="58">
        <f t="shared" si="157"/>
        <v>0</v>
      </c>
    </row>
    <row r="1132" spans="1:16" ht="15.75" hidden="1" x14ac:dyDescent="0.25">
      <c r="A1132" s="48">
        <v>1131</v>
      </c>
      <c r="B1132" s="49" t="s">
        <v>2326</v>
      </c>
      <c r="C1132" s="49" t="s">
        <v>2327</v>
      </c>
      <c r="D1132" s="53" t="s">
        <v>47</v>
      </c>
      <c r="E1132" s="53" t="s">
        <v>116</v>
      </c>
      <c r="F1132" s="45">
        <f t="shared" si="156"/>
        <v>60</v>
      </c>
      <c r="G1132" s="58">
        <f t="shared" si="157"/>
        <v>1</v>
      </c>
      <c r="L1132" s="3">
        <v>60</v>
      </c>
    </row>
    <row r="1133" spans="1:16" ht="15.75" hidden="1" x14ac:dyDescent="0.25">
      <c r="A1133" s="48">
        <v>1132</v>
      </c>
      <c r="B1133" s="49" t="s">
        <v>2328</v>
      </c>
      <c r="C1133" s="49" t="s">
        <v>2329</v>
      </c>
      <c r="D1133" s="53" t="s">
        <v>47</v>
      </c>
      <c r="E1133" s="53" t="s">
        <v>51</v>
      </c>
      <c r="F1133" s="45">
        <f t="shared" si="156"/>
        <v>0</v>
      </c>
      <c r="G1133" s="58">
        <f t="shared" si="157"/>
        <v>0</v>
      </c>
    </row>
    <row r="1134" spans="1:16" ht="15.75" hidden="1" x14ac:dyDescent="0.25">
      <c r="A1134" s="48">
        <v>1133</v>
      </c>
      <c r="B1134" s="49" t="s">
        <v>2330</v>
      </c>
      <c r="C1134" s="49" t="s">
        <v>2331</v>
      </c>
      <c r="D1134" s="53" t="s">
        <v>47</v>
      </c>
      <c r="E1134" s="53" t="s">
        <v>48</v>
      </c>
      <c r="F1134" s="45">
        <f t="shared" si="156"/>
        <v>231</v>
      </c>
      <c r="G1134" s="58">
        <f t="shared" si="157"/>
        <v>3.85</v>
      </c>
      <c r="I1134" s="3">
        <v>81</v>
      </c>
      <c r="K1134" s="3">
        <v>90</v>
      </c>
      <c r="M1134" s="3">
        <v>30</v>
      </c>
      <c r="O1134" s="3">
        <v>30</v>
      </c>
    </row>
    <row r="1135" spans="1:16" ht="15.75" hidden="1" x14ac:dyDescent="0.25">
      <c r="A1135" s="48">
        <v>1134</v>
      </c>
      <c r="B1135" s="49" t="s">
        <v>2332</v>
      </c>
      <c r="C1135" s="49" t="s">
        <v>2333</v>
      </c>
      <c r="D1135" s="53" t="s">
        <v>47</v>
      </c>
      <c r="E1135" s="53" t="s">
        <v>61</v>
      </c>
      <c r="F1135" s="45">
        <f t="shared" si="156"/>
        <v>180</v>
      </c>
      <c r="G1135" s="58">
        <f t="shared" si="157"/>
        <v>3</v>
      </c>
      <c r="K1135" s="3">
        <v>90</v>
      </c>
      <c r="N1135" s="3">
        <v>30</v>
      </c>
      <c r="O1135" s="3">
        <v>30</v>
      </c>
      <c r="P1135" s="3">
        <v>30</v>
      </c>
    </row>
    <row r="1136" spans="1:16" ht="15.75" hidden="1" x14ac:dyDescent="0.25">
      <c r="A1136" s="48">
        <v>1135</v>
      </c>
      <c r="B1136" s="49" t="s">
        <v>2334</v>
      </c>
      <c r="C1136" s="49" t="s">
        <v>2335</v>
      </c>
      <c r="D1136" s="53" t="s">
        <v>47</v>
      </c>
      <c r="E1136" s="53" t="s">
        <v>48</v>
      </c>
      <c r="F1136" s="45">
        <f t="shared" si="156"/>
        <v>234</v>
      </c>
      <c r="G1136" s="58">
        <f t="shared" si="157"/>
        <v>3.9</v>
      </c>
      <c r="H1136" s="3">
        <v>90</v>
      </c>
      <c r="I1136" s="3">
        <v>84</v>
      </c>
      <c r="J1136" s="3">
        <v>60</v>
      </c>
    </row>
    <row r="1137" spans="1:16" ht="15.75" hidden="1" x14ac:dyDescent="0.25">
      <c r="A1137" s="48">
        <v>1136</v>
      </c>
      <c r="B1137" s="49" t="s">
        <v>2336</v>
      </c>
      <c r="C1137" s="49" t="s">
        <v>2337</v>
      </c>
      <c r="D1137" s="53" t="s">
        <v>47</v>
      </c>
      <c r="E1137" s="53" t="s">
        <v>56</v>
      </c>
      <c r="F1137" s="45">
        <f t="shared" si="156"/>
        <v>285</v>
      </c>
      <c r="G1137" s="58">
        <f t="shared" si="157"/>
        <v>4.75</v>
      </c>
      <c r="H1137" s="3">
        <v>90</v>
      </c>
      <c r="I1137" s="3">
        <v>75</v>
      </c>
      <c r="M1137" s="3">
        <v>30</v>
      </c>
      <c r="N1137" s="3">
        <v>30</v>
      </c>
      <c r="O1137" s="3">
        <v>30</v>
      </c>
      <c r="P1137" s="3">
        <v>30</v>
      </c>
    </row>
    <row r="1138" spans="1:16" ht="15.75" hidden="1" x14ac:dyDescent="0.25">
      <c r="A1138" s="48">
        <v>1137</v>
      </c>
      <c r="B1138" s="49" t="s">
        <v>2338</v>
      </c>
      <c r="C1138" s="49" t="s">
        <v>2339</v>
      </c>
      <c r="D1138" s="53" t="s">
        <v>47</v>
      </c>
      <c r="E1138" s="53" t="s">
        <v>86</v>
      </c>
      <c r="F1138" s="45">
        <f t="shared" si="156"/>
        <v>0</v>
      </c>
      <c r="G1138" s="58">
        <f t="shared" si="157"/>
        <v>0</v>
      </c>
    </row>
    <row r="1139" spans="1:16" ht="15.75" hidden="1" x14ac:dyDescent="0.25">
      <c r="A1139" s="48">
        <v>1138</v>
      </c>
      <c r="B1139" s="49" t="s">
        <v>2340</v>
      </c>
      <c r="C1139" s="49" t="s">
        <v>2341</v>
      </c>
      <c r="D1139" s="53" t="s">
        <v>47</v>
      </c>
      <c r="E1139" s="53" t="s">
        <v>105</v>
      </c>
      <c r="F1139" s="45">
        <f t="shared" si="156"/>
        <v>0</v>
      </c>
      <c r="G1139" s="58">
        <f t="shared" si="157"/>
        <v>0</v>
      </c>
    </row>
    <row r="1140" spans="1:16" ht="15.75" hidden="1" x14ac:dyDescent="0.25">
      <c r="A1140" s="48">
        <v>1139</v>
      </c>
      <c r="B1140" s="49" t="s">
        <v>2342</v>
      </c>
      <c r="C1140" s="49" t="s">
        <v>2343</v>
      </c>
      <c r="D1140" s="53" t="s">
        <v>47</v>
      </c>
      <c r="E1140" s="53" t="s">
        <v>48</v>
      </c>
      <c r="F1140" s="45">
        <f t="shared" si="156"/>
        <v>30</v>
      </c>
      <c r="G1140" s="58">
        <f t="shared" si="157"/>
        <v>0.5</v>
      </c>
      <c r="P1140" s="3">
        <v>30</v>
      </c>
    </row>
    <row r="1141" spans="1:16" ht="15.75" hidden="1" x14ac:dyDescent="0.25">
      <c r="A1141" s="48">
        <v>1140</v>
      </c>
      <c r="B1141" s="49" t="s">
        <v>2344</v>
      </c>
      <c r="C1141" s="49" t="s">
        <v>2345</v>
      </c>
      <c r="D1141" s="53" t="s">
        <v>47</v>
      </c>
      <c r="E1141" s="53" t="s">
        <v>86</v>
      </c>
      <c r="F1141" s="45">
        <f t="shared" si="156"/>
        <v>0</v>
      </c>
      <c r="G1141" s="58">
        <f t="shared" si="157"/>
        <v>0</v>
      </c>
    </row>
    <row r="1142" spans="1:16" ht="15.75" hidden="1" x14ac:dyDescent="0.25">
      <c r="A1142" s="48">
        <v>1141</v>
      </c>
      <c r="B1142" s="49" t="s">
        <v>2346</v>
      </c>
      <c r="C1142" s="49" t="s">
        <v>2347</v>
      </c>
      <c r="D1142" s="53" t="s">
        <v>47</v>
      </c>
      <c r="E1142" s="53" t="s">
        <v>116</v>
      </c>
      <c r="F1142" s="45">
        <f t="shared" si="156"/>
        <v>240</v>
      </c>
      <c r="G1142" s="58">
        <f t="shared" si="157"/>
        <v>4</v>
      </c>
      <c r="H1142" s="3">
        <v>90</v>
      </c>
      <c r="K1142" s="3">
        <v>90</v>
      </c>
      <c r="M1142" s="3">
        <v>30</v>
      </c>
      <c r="N1142" s="3">
        <v>30</v>
      </c>
    </row>
    <row r="1143" spans="1:16" ht="15.75" hidden="1" x14ac:dyDescent="0.25">
      <c r="A1143" s="48">
        <v>1142</v>
      </c>
      <c r="B1143" s="49" t="s">
        <v>2348</v>
      </c>
      <c r="C1143" s="49" t="s">
        <v>2349</v>
      </c>
      <c r="D1143" s="53" t="s">
        <v>47</v>
      </c>
      <c r="E1143" s="53" t="s">
        <v>105</v>
      </c>
      <c r="F1143" s="45">
        <f t="shared" si="156"/>
        <v>83</v>
      </c>
      <c r="G1143" s="58">
        <f t="shared" si="157"/>
        <v>1.3833333333333333</v>
      </c>
      <c r="I1143" s="3">
        <v>83</v>
      </c>
    </row>
    <row r="1144" spans="1:16" ht="15.75" hidden="1" x14ac:dyDescent="0.25">
      <c r="A1144" s="48">
        <v>1143</v>
      </c>
      <c r="B1144" s="49" t="s">
        <v>2350</v>
      </c>
      <c r="C1144" s="49" t="s">
        <v>2351</v>
      </c>
      <c r="D1144" s="53" t="s">
        <v>47</v>
      </c>
      <c r="E1144" s="53" t="s">
        <v>105</v>
      </c>
      <c r="F1144" s="45">
        <f t="shared" si="156"/>
        <v>0</v>
      </c>
      <c r="G1144" s="58">
        <f t="shared" si="157"/>
        <v>0</v>
      </c>
    </row>
    <row r="1145" spans="1:16" ht="15.75" hidden="1" x14ac:dyDescent="0.25">
      <c r="A1145" s="48">
        <v>1144</v>
      </c>
      <c r="B1145" s="49" t="s">
        <v>2352</v>
      </c>
      <c r="C1145" s="49" t="s">
        <v>2353</v>
      </c>
      <c r="D1145" s="53" t="s">
        <v>64</v>
      </c>
      <c r="E1145" s="53" t="s">
        <v>65</v>
      </c>
      <c r="F1145" s="45">
        <f t="shared" si="151"/>
        <v>0</v>
      </c>
      <c r="G1145" s="58">
        <f t="shared" si="157"/>
        <v>0</v>
      </c>
    </row>
    <row r="1146" spans="1:16" ht="15.75" hidden="1" x14ac:dyDescent="0.25">
      <c r="A1146" s="48">
        <v>1145</v>
      </c>
      <c r="B1146" s="49" t="s">
        <v>2354</v>
      </c>
      <c r="C1146" s="49" t="s">
        <v>2355</v>
      </c>
      <c r="D1146" s="53" t="s">
        <v>47</v>
      </c>
      <c r="E1146" s="53" t="s">
        <v>105</v>
      </c>
      <c r="F1146" s="45">
        <f t="shared" ref="F1146:F1155" si="158">SUM($H1146:$P1146)</f>
        <v>0</v>
      </c>
      <c r="G1146" s="58">
        <f t="shared" si="157"/>
        <v>0</v>
      </c>
    </row>
    <row r="1147" spans="1:16" ht="15.75" hidden="1" x14ac:dyDescent="0.25">
      <c r="A1147" s="48">
        <v>1146</v>
      </c>
      <c r="B1147" s="49" t="s">
        <v>2356</v>
      </c>
      <c r="C1147" s="49" t="s">
        <v>2357</v>
      </c>
      <c r="D1147" s="53" t="s">
        <v>47</v>
      </c>
      <c r="E1147" s="53" t="s">
        <v>116</v>
      </c>
      <c r="F1147" s="45">
        <f t="shared" si="158"/>
        <v>0</v>
      </c>
      <c r="G1147" s="58">
        <f t="shared" si="157"/>
        <v>0</v>
      </c>
    </row>
    <row r="1148" spans="1:16" ht="15.75" hidden="1" x14ac:dyDescent="0.25">
      <c r="A1148" s="48">
        <v>1147</v>
      </c>
      <c r="B1148" s="49" t="s">
        <v>2358</v>
      </c>
      <c r="C1148" s="49" t="s">
        <v>2359</v>
      </c>
      <c r="D1148" s="53" t="s">
        <v>47</v>
      </c>
      <c r="E1148" s="53" t="s">
        <v>105</v>
      </c>
      <c r="F1148" s="45">
        <f t="shared" si="158"/>
        <v>0</v>
      </c>
      <c r="G1148" s="58">
        <f t="shared" si="157"/>
        <v>0</v>
      </c>
    </row>
    <row r="1149" spans="1:16" ht="15.75" hidden="1" x14ac:dyDescent="0.25">
      <c r="A1149" s="48">
        <v>1148</v>
      </c>
      <c r="B1149" s="49" t="s">
        <v>2360</v>
      </c>
      <c r="C1149" s="49" t="s">
        <v>2361</v>
      </c>
      <c r="D1149" s="53" t="s">
        <v>47</v>
      </c>
      <c r="E1149" s="53" t="s">
        <v>48</v>
      </c>
      <c r="F1149" s="45">
        <f t="shared" si="158"/>
        <v>0</v>
      </c>
      <c r="G1149" s="58">
        <f t="shared" si="157"/>
        <v>0</v>
      </c>
    </row>
    <row r="1150" spans="1:16" ht="15.75" hidden="1" x14ac:dyDescent="0.25">
      <c r="A1150" s="48">
        <v>1149</v>
      </c>
      <c r="B1150" s="49" t="s">
        <v>2362</v>
      </c>
      <c r="C1150" s="49" t="s">
        <v>2363</v>
      </c>
      <c r="D1150" s="53" t="s">
        <v>47</v>
      </c>
      <c r="E1150" s="53" t="s">
        <v>48</v>
      </c>
      <c r="F1150" s="45">
        <f t="shared" si="158"/>
        <v>330</v>
      </c>
      <c r="G1150" s="58">
        <f t="shared" si="157"/>
        <v>5.5</v>
      </c>
      <c r="H1150" s="3">
        <v>90</v>
      </c>
      <c r="J1150" s="3">
        <v>60</v>
      </c>
      <c r="K1150" s="3">
        <v>90</v>
      </c>
      <c r="M1150" s="3">
        <v>30</v>
      </c>
      <c r="N1150" s="3">
        <v>30</v>
      </c>
      <c r="P1150" s="3">
        <v>30</v>
      </c>
    </row>
    <row r="1151" spans="1:16" ht="15.75" hidden="1" x14ac:dyDescent="0.25">
      <c r="A1151" s="48">
        <v>1150</v>
      </c>
      <c r="B1151" s="49" t="s">
        <v>2364</v>
      </c>
      <c r="C1151" s="49" t="s">
        <v>2365</v>
      </c>
      <c r="D1151" s="53" t="s">
        <v>47</v>
      </c>
      <c r="E1151" s="53" t="s">
        <v>48</v>
      </c>
      <c r="F1151" s="45">
        <f t="shared" si="158"/>
        <v>0</v>
      </c>
      <c r="G1151" s="58">
        <f t="shared" si="157"/>
        <v>0</v>
      </c>
    </row>
    <row r="1152" spans="1:16" ht="15.75" hidden="1" x14ac:dyDescent="0.25">
      <c r="A1152" s="48">
        <v>1151</v>
      </c>
      <c r="B1152" s="49" t="s">
        <v>2366</v>
      </c>
      <c r="C1152" s="49" t="s">
        <v>2367</v>
      </c>
      <c r="D1152" s="53" t="s">
        <v>47</v>
      </c>
      <c r="E1152" s="53" t="s">
        <v>56</v>
      </c>
      <c r="F1152" s="45">
        <f t="shared" si="158"/>
        <v>0</v>
      </c>
      <c r="G1152" s="58">
        <f t="shared" si="157"/>
        <v>0</v>
      </c>
    </row>
    <row r="1153" spans="1:16" ht="15.75" hidden="1" x14ac:dyDescent="0.25">
      <c r="A1153" s="48">
        <v>1152</v>
      </c>
      <c r="B1153" s="49" t="s">
        <v>2368</v>
      </c>
      <c r="C1153" s="49" t="s">
        <v>2369</v>
      </c>
      <c r="D1153" s="53" t="s">
        <v>47</v>
      </c>
      <c r="E1153" s="53" t="s">
        <v>56</v>
      </c>
      <c r="F1153" s="45">
        <f t="shared" si="158"/>
        <v>30</v>
      </c>
      <c r="G1153" s="58">
        <f t="shared" si="157"/>
        <v>0.5</v>
      </c>
      <c r="P1153" s="3">
        <v>30</v>
      </c>
    </row>
    <row r="1154" spans="1:16" ht="15.75" hidden="1" x14ac:dyDescent="0.25">
      <c r="A1154" s="48">
        <v>1153</v>
      </c>
      <c r="B1154" s="49" t="s">
        <v>2370</v>
      </c>
      <c r="C1154" s="49" t="s">
        <v>2371</v>
      </c>
      <c r="D1154" s="53" t="s">
        <v>47</v>
      </c>
      <c r="E1154" s="53" t="s">
        <v>48</v>
      </c>
      <c r="F1154" s="45">
        <f t="shared" si="158"/>
        <v>0</v>
      </c>
      <c r="G1154" s="58">
        <f t="shared" si="157"/>
        <v>0</v>
      </c>
    </row>
    <row r="1155" spans="1:16" ht="15.75" hidden="1" x14ac:dyDescent="0.25">
      <c r="A1155" s="48">
        <v>1154</v>
      </c>
      <c r="B1155" s="49" t="s">
        <v>2372</v>
      </c>
      <c r="C1155" s="49" t="s">
        <v>2373</v>
      </c>
      <c r="D1155" s="53" t="s">
        <v>47</v>
      </c>
      <c r="E1155" s="53" t="s">
        <v>79</v>
      </c>
      <c r="F1155" s="45">
        <f t="shared" si="158"/>
        <v>0</v>
      </c>
      <c r="G1155" s="58">
        <f t="shared" si="157"/>
        <v>0</v>
      </c>
    </row>
    <row r="1156" spans="1:16" ht="15.75" hidden="1" x14ac:dyDescent="0.25">
      <c r="A1156" s="48">
        <v>1155</v>
      </c>
      <c r="B1156" s="49" t="s">
        <v>2374</v>
      </c>
      <c r="C1156" s="49" t="s">
        <v>2375</v>
      </c>
      <c r="D1156" s="53" t="s">
        <v>82</v>
      </c>
      <c r="E1156" s="53" t="s">
        <v>140</v>
      </c>
      <c r="F1156" s="45">
        <f t="shared" ref="F1156:F1217" si="159">SUM($H1156:$K1156)</f>
        <v>164</v>
      </c>
      <c r="G1156" s="58">
        <f t="shared" si="157"/>
        <v>2.7333333333333334</v>
      </c>
      <c r="H1156" s="3">
        <v>90</v>
      </c>
      <c r="I1156" s="3">
        <v>74</v>
      </c>
      <c r="L1156" s="3">
        <v>60</v>
      </c>
    </row>
    <row r="1157" spans="1:16" ht="15.75" hidden="1" x14ac:dyDescent="0.25">
      <c r="A1157" s="48">
        <v>1156</v>
      </c>
      <c r="B1157" s="49" t="s">
        <v>2376</v>
      </c>
      <c r="C1157" s="49" t="s">
        <v>2377</v>
      </c>
      <c r="D1157" s="53" t="s">
        <v>47</v>
      </c>
      <c r="E1157" s="53" t="s">
        <v>48</v>
      </c>
      <c r="F1157" s="45">
        <f t="shared" ref="F1157:F1164" si="160">SUM($H1157:$P1157)</f>
        <v>320</v>
      </c>
      <c r="G1157" s="58">
        <f t="shared" si="157"/>
        <v>5.333333333333333</v>
      </c>
      <c r="H1157" s="3">
        <v>90</v>
      </c>
      <c r="I1157" s="3">
        <v>20</v>
      </c>
      <c r="K1157" s="3">
        <v>90</v>
      </c>
      <c r="M1157" s="3">
        <v>30</v>
      </c>
      <c r="N1157" s="3">
        <v>30</v>
      </c>
      <c r="O1157" s="3">
        <v>30</v>
      </c>
      <c r="P1157" s="3">
        <v>30</v>
      </c>
    </row>
    <row r="1158" spans="1:16" ht="15.75" hidden="1" x14ac:dyDescent="0.25">
      <c r="A1158" s="48">
        <v>1157</v>
      </c>
      <c r="B1158" s="49" t="s">
        <v>2378</v>
      </c>
      <c r="C1158" s="49" t="s">
        <v>2379</v>
      </c>
      <c r="D1158" s="53" t="s">
        <v>47</v>
      </c>
      <c r="E1158" s="53" t="s">
        <v>56</v>
      </c>
      <c r="F1158" s="45">
        <f t="shared" si="160"/>
        <v>0</v>
      </c>
      <c r="G1158" s="58">
        <f t="shared" si="157"/>
        <v>0</v>
      </c>
    </row>
    <row r="1159" spans="1:16" ht="15.75" hidden="1" x14ac:dyDescent="0.25">
      <c r="A1159" s="48">
        <v>1158</v>
      </c>
      <c r="B1159" s="49" t="s">
        <v>2380</v>
      </c>
      <c r="C1159" s="49" t="s">
        <v>2381</v>
      </c>
      <c r="D1159" s="53" t="s">
        <v>47</v>
      </c>
      <c r="E1159" s="53" t="s">
        <v>51</v>
      </c>
      <c r="F1159" s="45">
        <f t="shared" si="160"/>
        <v>0</v>
      </c>
      <c r="G1159" s="58">
        <f t="shared" si="157"/>
        <v>0</v>
      </c>
    </row>
    <row r="1160" spans="1:16" ht="15.75" hidden="1" x14ac:dyDescent="0.25">
      <c r="A1160" s="48">
        <v>1159</v>
      </c>
      <c r="B1160" s="49" t="s">
        <v>2382</v>
      </c>
      <c r="C1160" s="49" t="s">
        <v>2383</v>
      </c>
      <c r="D1160" s="53" t="s">
        <v>47</v>
      </c>
      <c r="E1160" s="53" t="s">
        <v>116</v>
      </c>
      <c r="F1160" s="45">
        <f t="shared" si="160"/>
        <v>51</v>
      </c>
      <c r="G1160" s="58">
        <f t="shared" si="157"/>
        <v>0.85</v>
      </c>
      <c r="I1160" s="3">
        <v>51</v>
      </c>
    </row>
    <row r="1161" spans="1:16" ht="15.75" hidden="1" x14ac:dyDescent="0.25">
      <c r="A1161" s="48">
        <v>1160</v>
      </c>
      <c r="B1161" s="49" t="s">
        <v>2384</v>
      </c>
      <c r="C1161" s="49" t="s">
        <v>2385</v>
      </c>
      <c r="D1161" s="53" t="s">
        <v>47</v>
      </c>
      <c r="E1161" s="53" t="s">
        <v>51</v>
      </c>
      <c r="F1161" s="45">
        <f t="shared" si="160"/>
        <v>73</v>
      </c>
      <c r="G1161" s="58">
        <f t="shared" si="157"/>
        <v>1.2166666666666666</v>
      </c>
      <c r="I1161" s="3">
        <v>73</v>
      </c>
    </row>
    <row r="1162" spans="1:16" ht="15.75" hidden="1" x14ac:dyDescent="0.25">
      <c r="A1162" s="48">
        <v>1161</v>
      </c>
      <c r="B1162" s="49" t="s">
        <v>2386</v>
      </c>
      <c r="C1162" s="49" t="s">
        <v>2387</v>
      </c>
      <c r="D1162" s="53" t="s">
        <v>47</v>
      </c>
      <c r="E1162" s="53" t="s">
        <v>51</v>
      </c>
      <c r="F1162" s="45">
        <f t="shared" si="160"/>
        <v>78</v>
      </c>
      <c r="G1162" s="58">
        <f t="shared" si="157"/>
        <v>1.3</v>
      </c>
      <c r="I1162" s="3">
        <v>78</v>
      </c>
    </row>
    <row r="1163" spans="1:16" ht="15.75" hidden="1" x14ac:dyDescent="0.25">
      <c r="A1163" s="48">
        <v>1162</v>
      </c>
      <c r="B1163" s="49" t="s">
        <v>2388</v>
      </c>
      <c r="C1163" s="49" t="s">
        <v>2389</v>
      </c>
      <c r="D1163" s="53" t="s">
        <v>47</v>
      </c>
      <c r="E1163" s="53" t="s">
        <v>105</v>
      </c>
      <c r="F1163" s="45">
        <f t="shared" si="160"/>
        <v>0</v>
      </c>
      <c r="G1163" s="58">
        <f t="shared" si="157"/>
        <v>0</v>
      </c>
    </row>
    <row r="1164" spans="1:16" ht="15.75" hidden="1" x14ac:dyDescent="0.25">
      <c r="A1164" s="48">
        <v>1163</v>
      </c>
      <c r="B1164" s="49" t="s">
        <v>2390</v>
      </c>
      <c r="C1164" s="49" t="s">
        <v>2391</v>
      </c>
      <c r="D1164" s="53" t="s">
        <v>47</v>
      </c>
      <c r="E1164" s="53" t="s">
        <v>48</v>
      </c>
      <c r="F1164" s="45">
        <f t="shared" si="160"/>
        <v>60</v>
      </c>
      <c r="G1164" s="58">
        <f t="shared" si="157"/>
        <v>1</v>
      </c>
      <c r="J1164" s="3">
        <v>60</v>
      </c>
    </row>
    <row r="1165" spans="1:16" ht="15.75" hidden="1" x14ac:dyDescent="0.25">
      <c r="A1165" s="48">
        <v>1164</v>
      </c>
      <c r="B1165" s="49" t="s">
        <v>2392</v>
      </c>
      <c r="C1165" s="49" t="s">
        <v>2393</v>
      </c>
      <c r="D1165" s="53" t="s">
        <v>64</v>
      </c>
      <c r="E1165" s="53" t="s">
        <v>186</v>
      </c>
      <c r="F1165" s="45">
        <f t="shared" si="159"/>
        <v>0</v>
      </c>
      <c r="G1165" s="58">
        <f t="shared" si="157"/>
        <v>0</v>
      </c>
    </row>
    <row r="1166" spans="1:16" ht="15.75" hidden="1" x14ac:dyDescent="0.25">
      <c r="A1166" s="48">
        <v>1165</v>
      </c>
      <c r="B1166" s="49" t="s">
        <v>2394</v>
      </c>
      <c r="C1166" s="49" t="s">
        <v>2395</v>
      </c>
      <c r="D1166" s="53" t="s">
        <v>64</v>
      </c>
      <c r="E1166" s="53" t="s">
        <v>65</v>
      </c>
      <c r="F1166" s="45">
        <f t="shared" si="159"/>
        <v>0</v>
      </c>
      <c r="G1166" s="58">
        <f t="shared" si="157"/>
        <v>0</v>
      </c>
    </row>
    <row r="1167" spans="1:16" ht="15.75" hidden="1" x14ac:dyDescent="0.25">
      <c r="A1167" s="48">
        <v>1166</v>
      </c>
      <c r="B1167" s="49" t="s">
        <v>2396</v>
      </c>
      <c r="C1167" s="49" t="s">
        <v>2397</v>
      </c>
      <c r="D1167" s="53" t="s">
        <v>47</v>
      </c>
      <c r="E1167" s="53" t="s">
        <v>116</v>
      </c>
      <c r="F1167" s="45">
        <f t="shared" ref="F1167:F1175" si="161">SUM($H1167:$P1167)</f>
        <v>0</v>
      </c>
      <c r="G1167" s="58">
        <f t="shared" si="157"/>
        <v>0</v>
      </c>
    </row>
    <row r="1168" spans="1:16" ht="15.75" hidden="1" x14ac:dyDescent="0.25">
      <c r="A1168" s="48">
        <v>1167</v>
      </c>
      <c r="B1168" s="49" t="s">
        <v>2398</v>
      </c>
      <c r="C1168" s="49" t="s">
        <v>2399</v>
      </c>
      <c r="D1168" s="53" t="s">
        <v>47</v>
      </c>
      <c r="E1168" s="53" t="s">
        <v>116</v>
      </c>
      <c r="F1168" s="45">
        <f t="shared" si="161"/>
        <v>0</v>
      </c>
      <c r="G1168" s="58">
        <f t="shared" si="157"/>
        <v>0</v>
      </c>
    </row>
    <row r="1169" spans="1:8" ht="15.75" hidden="1" x14ac:dyDescent="0.25">
      <c r="A1169" s="48">
        <v>1168</v>
      </c>
      <c r="B1169" s="49" t="s">
        <v>2400</v>
      </c>
      <c r="C1169" s="49" t="s">
        <v>2401</v>
      </c>
      <c r="D1169" s="53" t="s">
        <v>47</v>
      </c>
      <c r="E1169" s="53" t="s">
        <v>56</v>
      </c>
      <c r="F1169" s="45">
        <f t="shared" si="161"/>
        <v>90</v>
      </c>
      <c r="G1169" s="58">
        <f t="shared" si="157"/>
        <v>1.5</v>
      </c>
      <c r="H1169" s="3">
        <v>90</v>
      </c>
    </row>
    <row r="1170" spans="1:8" ht="15.75" hidden="1" x14ac:dyDescent="0.25">
      <c r="A1170" s="48">
        <v>1169</v>
      </c>
      <c r="B1170" s="49" t="s">
        <v>2402</v>
      </c>
      <c r="C1170" s="49" t="s">
        <v>2403</v>
      </c>
      <c r="D1170" s="53" t="s">
        <v>47</v>
      </c>
      <c r="E1170" s="53" t="s">
        <v>56</v>
      </c>
      <c r="F1170" s="45">
        <f t="shared" si="161"/>
        <v>0</v>
      </c>
      <c r="G1170" s="58">
        <f t="shared" si="157"/>
        <v>0</v>
      </c>
    </row>
    <row r="1171" spans="1:8" ht="15.75" hidden="1" x14ac:dyDescent="0.25">
      <c r="A1171" s="48">
        <v>1170</v>
      </c>
      <c r="B1171" s="49" t="s">
        <v>2404</v>
      </c>
      <c r="C1171" s="49" t="s">
        <v>2405</v>
      </c>
      <c r="D1171" s="53" t="s">
        <v>47</v>
      </c>
      <c r="E1171" s="53" t="s">
        <v>48</v>
      </c>
      <c r="F1171" s="45">
        <f t="shared" si="161"/>
        <v>0</v>
      </c>
      <c r="G1171" s="58">
        <f t="shared" si="157"/>
        <v>0</v>
      </c>
    </row>
    <row r="1172" spans="1:8" ht="15.75" hidden="1" x14ac:dyDescent="0.25">
      <c r="A1172" s="48">
        <v>1171</v>
      </c>
      <c r="B1172" s="49" t="s">
        <v>2406</v>
      </c>
      <c r="C1172" s="49" t="s">
        <v>2407</v>
      </c>
      <c r="D1172" s="53" t="s">
        <v>47</v>
      </c>
      <c r="E1172" s="53" t="s">
        <v>76</v>
      </c>
      <c r="F1172" s="45">
        <f t="shared" si="161"/>
        <v>90</v>
      </c>
      <c r="G1172" s="58">
        <f t="shared" si="157"/>
        <v>1.5</v>
      </c>
      <c r="H1172" s="3">
        <v>90</v>
      </c>
    </row>
    <row r="1173" spans="1:8" ht="15.75" hidden="1" x14ac:dyDescent="0.25">
      <c r="A1173" s="48">
        <v>1172</v>
      </c>
      <c r="B1173" s="49" t="s">
        <v>2408</v>
      </c>
      <c r="C1173" s="49" t="s">
        <v>2409</v>
      </c>
      <c r="D1173" s="53" t="s">
        <v>47</v>
      </c>
      <c r="E1173" s="53" t="s">
        <v>56</v>
      </c>
      <c r="F1173" s="45">
        <f t="shared" si="161"/>
        <v>0</v>
      </c>
      <c r="G1173" s="58">
        <f t="shared" si="157"/>
        <v>0</v>
      </c>
    </row>
    <row r="1174" spans="1:8" ht="15.75" hidden="1" x14ac:dyDescent="0.25">
      <c r="A1174" s="48">
        <v>1173</v>
      </c>
      <c r="B1174" s="49" t="s">
        <v>2410</v>
      </c>
      <c r="C1174" s="49" t="s">
        <v>2411</v>
      </c>
      <c r="D1174" s="53" t="s">
        <v>47</v>
      </c>
      <c r="E1174" s="53" t="s">
        <v>48</v>
      </c>
      <c r="F1174" s="45">
        <f t="shared" si="161"/>
        <v>0</v>
      </c>
      <c r="G1174" s="58">
        <f t="shared" si="157"/>
        <v>0</v>
      </c>
    </row>
    <row r="1175" spans="1:8" ht="15.75" hidden="1" x14ac:dyDescent="0.25">
      <c r="A1175" s="48">
        <v>1174</v>
      </c>
      <c r="B1175" s="49" t="s">
        <v>2412</v>
      </c>
      <c r="C1175" s="49" t="s">
        <v>2413</v>
      </c>
      <c r="D1175" s="53" t="s">
        <v>47</v>
      </c>
      <c r="E1175" s="53" t="s">
        <v>56</v>
      </c>
      <c r="F1175" s="45">
        <f t="shared" si="161"/>
        <v>0</v>
      </c>
      <c r="G1175" s="58">
        <f t="shared" si="157"/>
        <v>0</v>
      </c>
    </row>
    <row r="1176" spans="1:8" ht="15.75" hidden="1" x14ac:dyDescent="0.25">
      <c r="A1176" s="48">
        <v>1175</v>
      </c>
      <c r="B1176" s="49" t="s">
        <v>2414</v>
      </c>
      <c r="C1176" s="49" t="s">
        <v>2415</v>
      </c>
      <c r="D1176" s="53" t="s">
        <v>64</v>
      </c>
      <c r="E1176" s="53" t="s">
        <v>186</v>
      </c>
      <c r="F1176" s="45">
        <f t="shared" si="159"/>
        <v>0</v>
      </c>
      <c r="G1176" s="58">
        <f t="shared" si="157"/>
        <v>0</v>
      </c>
    </row>
    <row r="1177" spans="1:8" ht="15.75" hidden="1" x14ac:dyDescent="0.25">
      <c r="A1177" s="48">
        <v>1176</v>
      </c>
      <c r="B1177" s="49" t="s">
        <v>2416</v>
      </c>
      <c r="C1177" s="49" t="s">
        <v>2417</v>
      </c>
      <c r="D1177" s="53" t="s">
        <v>47</v>
      </c>
      <c r="E1177" s="53" t="s">
        <v>48</v>
      </c>
      <c r="F1177" s="45">
        <f t="shared" ref="F1177:F1182" si="162">SUM($H1177:$P1177)</f>
        <v>0</v>
      </c>
      <c r="G1177" s="58">
        <f t="shared" si="157"/>
        <v>0</v>
      </c>
    </row>
    <row r="1178" spans="1:8" ht="15.75" hidden="1" x14ac:dyDescent="0.25">
      <c r="A1178" s="48">
        <v>1177</v>
      </c>
      <c r="B1178" s="49" t="s">
        <v>2418</v>
      </c>
      <c r="C1178" s="49" t="s">
        <v>2419</v>
      </c>
      <c r="D1178" s="53" t="s">
        <v>47</v>
      </c>
      <c r="E1178" s="53" t="s">
        <v>48</v>
      </c>
      <c r="F1178" s="45">
        <f t="shared" si="162"/>
        <v>0</v>
      </c>
      <c r="G1178" s="58">
        <f t="shared" si="157"/>
        <v>0</v>
      </c>
    </row>
    <row r="1179" spans="1:8" ht="15.75" hidden="1" x14ac:dyDescent="0.25">
      <c r="A1179" s="48">
        <v>1178</v>
      </c>
      <c r="B1179" s="49" t="s">
        <v>2420</v>
      </c>
      <c r="C1179" s="49" t="s">
        <v>2421</v>
      </c>
      <c r="D1179" s="53" t="s">
        <v>47</v>
      </c>
      <c r="E1179" s="53" t="s">
        <v>48</v>
      </c>
      <c r="F1179" s="45">
        <f t="shared" si="162"/>
        <v>0</v>
      </c>
      <c r="G1179" s="58">
        <f t="shared" si="157"/>
        <v>0</v>
      </c>
    </row>
    <row r="1180" spans="1:8" ht="15.75" hidden="1" x14ac:dyDescent="0.25">
      <c r="A1180" s="48">
        <v>1179</v>
      </c>
      <c r="B1180" s="49" t="s">
        <v>2422</v>
      </c>
      <c r="C1180" s="49" t="s">
        <v>2423</v>
      </c>
      <c r="D1180" s="53" t="s">
        <v>47</v>
      </c>
      <c r="E1180" s="53" t="s">
        <v>51</v>
      </c>
      <c r="F1180" s="45">
        <f t="shared" si="162"/>
        <v>0</v>
      </c>
      <c r="G1180" s="58">
        <f t="shared" si="157"/>
        <v>0</v>
      </c>
    </row>
    <row r="1181" spans="1:8" ht="15.75" hidden="1" x14ac:dyDescent="0.25">
      <c r="A1181" s="48">
        <v>1180</v>
      </c>
      <c r="B1181" s="49" t="s">
        <v>2424</v>
      </c>
      <c r="C1181" s="49" t="s">
        <v>2425</v>
      </c>
      <c r="D1181" s="53" t="s">
        <v>47</v>
      </c>
      <c r="E1181" s="53" t="s">
        <v>48</v>
      </c>
      <c r="F1181" s="45">
        <f t="shared" si="162"/>
        <v>0</v>
      </c>
      <c r="G1181" s="58">
        <f t="shared" si="157"/>
        <v>0</v>
      </c>
    </row>
    <row r="1182" spans="1:8" ht="15.75" hidden="1" x14ac:dyDescent="0.25">
      <c r="A1182" s="48">
        <v>1181</v>
      </c>
      <c r="B1182" s="49" t="s">
        <v>2426</v>
      </c>
      <c r="C1182" s="49" t="s">
        <v>2427</v>
      </c>
      <c r="D1182" s="53" t="s">
        <v>47</v>
      </c>
      <c r="E1182" s="53" t="s">
        <v>48</v>
      </c>
      <c r="F1182" s="45">
        <f t="shared" si="162"/>
        <v>0</v>
      </c>
      <c r="G1182" s="58">
        <f t="shared" si="157"/>
        <v>0</v>
      </c>
    </row>
    <row r="1183" spans="1:8" ht="15.75" hidden="1" x14ac:dyDescent="0.25">
      <c r="A1183" s="48">
        <v>1182</v>
      </c>
      <c r="B1183" s="49" t="s">
        <v>2428</v>
      </c>
      <c r="C1183" s="49" t="s">
        <v>2429</v>
      </c>
      <c r="D1183" s="53" t="s">
        <v>64</v>
      </c>
      <c r="E1183" s="53" t="s">
        <v>186</v>
      </c>
      <c r="F1183" s="45">
        <f t="shared" si="159"/>
        <v>0</v>
      </c>
      <c r="G1183" s="58">
        <f t="shared" si="157"/>
        <v>0</v>
      </c>
    </row>
    <row r="1184" spans="1:8" ht="15.75" hidden="1" x14ac:dyDescent="0.25">
      <c r="A1184" s="48">
        <v>1183</v>
      </c>
      <c r="B1184" s="49" t="s">
        <v>2430</v>
      </c>
      <c r="C1184" s="49" t="s">
        <v>2431</v>
      </c>
      <c r="D1184" s="53" t="s">
        <v>64</v>
      </c>
      <c r="E1184" s="53" t="s">
        <v>186</v>
      </c>
      <c r="F1184" s="45">
        <f t="shared" si="159"/>
        <v>0</v>
      </c>
      <c r="G1184" s="58">
        <f t="shared" si="157"/>
        <v>0</v>
      </c>
    </row>
    <row r="1185" spans="1:11" ht="15.75" hidden="1" x14ac:dyDescent="0.25">
      <c r="A1185" s="48">
        <v>1184</v>
      </c>
      <c r="B1185" s="49" t="s">
        <v>2432</v>
      </c>
      <c r="C1185" s="49" t="s">
        <v>2433</v>
      </c>
      <c r="D1185" s="53" t="s">
        <v>47</v>
      </c>
      <c r="E1185" s="53" t="s">
        <v>48</v>
      </c>
      <c r="F1185" s="45">
        <f>SUM($H1185:$P1185)</f>
        <v>90</v>
      </c>
      <c r="G1185" s="58">
        <f t="shared" si="157"/>
        <v>1.5</v>
      </c>
      <c r="K1185" s="3">
        <v>90</v>
      </c>
    </row>
    <row r="1186" spans="1:11" ht="15.75" hidden="1" x14ac:dyDescent="0.25">
      <c r="A1186" s="48">
        <v>1185</v>
      </c>
      <c r="B1186" s="49" t="s">
        <v>2434</v>
      </c>
      <c r="C1186" s="49" t="s">
        <v>2435</v>
      </c>
      <c r="D1186" s="53" t="s">
        <v>64</v>
      </c>
      <c r="E1186" s="53" t="s">
        <v>186</v>
      </c>
      <c r="F1186" s="45">
        <f t="shared" si="159"/>
        <v>0</v>
      </c>
      <c r="G1186" s="58">
        <f t="shared" si="157"/>
        <v>0</v>
      </c>
    </row>
    <row r="1187" spans="1:11" ht="15.75" hidden="1" x14ac:dyDescent="0.25">
      <c r="A1187" s="48">
        <v>1186</v>
      </c>
      <c r="B1187" s="49" t="s">
        <v>2436</v>
      </c>
      <c r="C1187" s="49" t="s">
        <v>2437</v>
      </c>
      <c r="D1187" s="53" t="s">
        <v>47</v>
      </c>
      <c r="E1187" s="53" t="s">
        <v>48</v>
      </c>
      <c r="F1187" s="45">
        <f t="shared" ref="F1187:F1199" si="163">SUM($H1187:$P1187)</f>
        <v>0</v>
      </c>
      <c r="G1187" s="58">
        <f t="shared" si="157"/>
        <v>0</v>
      </c>
    </row>
    <row r="1188" spans="1:11" ht="15.75" hidden="1" x14ac:dyDescent="0.25">
      <c r="A1188" s="48">
        <v>1187</v>
      </c>
      <c r="B1188" s="49" t="s">
        <v>2438</v>
      </c>
      <c r="C1188" s="49" t="s">
        <v>2439</v>
      </c>
      <c r="D1188" s="53" t="s">
        <v>47</v>
      </c>
      <c r="E1188" s="53" t="s">
        <v>48</v>
      </c>
      <c r="F1188" s="45">
        <f t="shared" si="163"/>
        <v>0</v>
      </c>
      <c r="G1188" s="58">
        <f t="shared" si="157"/>
        <v>0</v>
      </c>
    </row>
    <row r="1189" spans="1:11" ht="15.75" hidden="1" x14ac:dyDescent="0.25">
      <c r="A1189" s="48">
        <v>1188</v>
      </c>
      <c r="B1189" s="49" t="s">
        <v>2440</v>
      </c>
      <c r="C1189" s="49" t="s">
        <v>2441</v>
      </c>
      <c r="D1189" s="53" t="s">
        <v>47</v>
      </c>
      <c r="E1189" s="53" t="s">
        <v>48</v>
      </c>
      <c r="F1189" s="45">
        <f t="shared" si="163"/>
        <v>0</v>
      </c>
      <c r="G1189" s="58">
        <f t="shared" si="157"/>
        <v>0</v>
      </c>
    </row>
    <row r="1190" spans="1:11" ht="15.75" hidden="1" x14ac:dyDescent="0.25">
      <c r="A1190" s="48">
        <v>1189</v>
      </c>
      <c r="B1190" s="49" t="s">
        <v>2442</v>
      </c>
      <c r="C1190" s="49" t="s">
        <v>2443</v>
      </c>
      <c r="D1190" s="53" t="s">
        <v>47</v>
      </c>
      <c r="E1190" s="53" t="s">
        <v>56</v>
      </c>
      <c r="F1190" s="45">
        <f t="shared" si="163"/>
        <v>0</v>
      </c>
      <c r="G1190" s="58">
        <f t="shared" si="157"/>
        <v>0</v>
      </c>
    </row>
    <row r="1191" spans="1:11" ht="15.75" hidden="1" x14ac:dyDescent="0.25">
      <c r="A1191" s="48">
        <v>1190</v>
      </c>
      <c r="B1191" s="49" t="s">
        <v>2444</v>
      </c>
      <c r="C1191" s="49" t="s">
        <v>2445</v>
      </c>
      <c r="D1191" s="53" t="s">
        <v>47</v>
      </c>
      <c r="E1191" s="53" t="s">
        <v>48</v>
      </c>
      <c r="F1191" s="45">
        <f t="shared" si="163"/>
        <v>150</v>
      </c>
      <c r="G1191" s="58">
        <f t="shared" si="157"/>
        <v>2.5</v>
      </c>
      <c r="H1191" s="3">
        <v>90</v>
      </c>
      <c r="J1191" s="3">
        <v>60</v>
      </c>
    </row>
    <row r="1192" spans="1:11" ht="15.75" hidden="1" x14ac:dyDescent="0.25">
      <c r="A1192" s="48">
        <v>1191</v>
      </c>
      <c r="B1192" s="49" t="s">
        <v>2446</v>
      </c>
      <c r="C1192" s="49" t="s">
        <v>2447</v>
      </c>
      <c r="D1192" s="53" t="s">
        <v>47</v>
      </c>
      <c r="E1192" s="53" t="s">
        <v>116</v>
      </c>
      <c r="F1192" s="45">
        <f t="shared" si="163"/>
        <v>0</v>
      </c>
      <c r="G1192" s="58">
        <f t="shared" si="157"/>
        <v>0</v>
      </c>
    </row>
    <row r="1193" spans="1:11" ht="15.75" hidden="1" x14ac:dyDescent="0.25">
      <c r="A1193" s="48">
        <v>1192</v>
      </c>
      <c r="B1193" s="49" t="s">
        <v>2448</v>
      </c>
      <c r="C1193" s="49" t="s">
        <v>2449</v>
      </c>
      <c r="D1193" s="53" t="s">
        <v>47</v>
      </c>
      <c r="E1193" s="53" t="s">
        <v>116</v>
      </c>
      <c r="F1193" s="45">
        <f t="shared" si="163"/>
        <v>0</v>
      </c>
      <c r="G1193" s="58">
        <f t="shared" si="157"/>
        <v>0</v>
      </c>
    </row>
    <row r="1194" spans="1:11" ht="15.75" hidden="1" x14ac:dyDescent="0.25">
      <c r="A1194" s="48">
        <v>1193</v>
      </c>
      <c r="B1194" s="49" t="s">
        <v>2450</v>
      </c>
      <c r="C1194" s="49" t="s">
        <v>2451</v>
      </c>
      <c r="D1194" s="53" t="s">
        <v>47</v>
      </c>
      <c r="E1194" s="53" t="s">
        <v>48</v>
      </c>
      <c r="F1194" s="45">
        <f t="shared" si="163"/>
        <v>0</v>
      </c>
      <c r="G1194" s="58">
        <f t="shared" ref="G1194:G1207" si="164">F1194/60</f>
        <v>0</v>
      </c>
    </row>
    <row r="1195" spans="1:11" ht="15.75" hidden="1" x14ac:dyDescent="0.25">
      <c r="A1195" s="48">
        <v>1194</v>
      </c>
      <c r="B1195" s="49" t="s">
        <v>2452</v>
      </c>
      <c r="C1195" s="49" t="s">
        <v>2453</v>
      </c>
      <c r="D1195" s="53" t="s">
        <v>47</v>
      </c>
      <c r="E1195" s="53" t="s">
        <v>48</v>
      </c>
      <c r="F1195" s="45">
        <f t="shared" si="163"/>
        <v>0</v>
      </c>
      <c r="G1195" s="58">
        <f t="shared" si="164"/>
        <v>0</v>
      </c>
    </row>
    <row r="1196" spans="1:11" ht="15.75" hidden="1" x14ac:dyDescent="0.25">
      <c r="A1196" s="48">
        <v>1195</v>
      </c>
      <c r="B1196" s="49" t="s">
        <v>2454</v>
      </c>
      <c r="C1196" s="49" t="s">
        <v>2455</v>
      </c>
      <c r="D1196" s="53" t="s">
        <v>47</v>
      </c>
      <c r="E1196" s="53" t="s">
        <v>48</v>
      </c>
      <c r="F1196" s="45">
        <f t="shared" si="163"/>
        <v>0</v>
      </c>
      <c r="G1196" s="58">
        <f t="shared" si="164"/>
        <v>0</v>
      </c>
    </row>
    <row r="1197" spans="1:11" ht="15.75" hidden="1" x14ac:dyDescent="0.25">
      <c r="A1197" s="48">
        <v>1196</v>
      </c>
      <c r="B1197" s="49" t="s">
        <v>2456</v>
      </c>
      <c r="C1197" s="49" t="s">
        <v>2457</v>
      </c>
      <c r="D1197" s="53" t="s">
        <v>47</v>
      </c>
      <c r="E1197" s="53" t="s">
        <v>48</v>
      </c>
      <c r="F1197" s="45">
        <f t="shared" si="163"/>
        <v>60</v>
      </c>
      <c r="G1197" s="58">
        <f t="shared" si="164"/>
        <v>1</v>
      </c>
      <c r="J1197" s="3">
        <v>60</v>
      </c>
    </row>
    <row r="1198" spans="1:11" ht="15.75" hidden="1" x14ac:dyDescent="0.25">
      <c r="A1198" s="48">
        <v>1197</v>
      </c>
      <c r="B1198" s="49" t="s">
        <v>2458</v>
      </c>
      <c r="C1198" s="49" t="s">
        <v>2459</v>
      </c>
      <c r="D1198" s="53" t="s">
        <v>47</v>
      </c>
      <c r="E1198" s="53" t="s">
        <v>48</v>
      </c>
      <c r="F1198" s="45">
        <f t="shared" si="163"/>
        <v>0</v>
      </c>
      <c r="G1198" s="58">
        <f t="shared" si="164"/>
        <v>0</v>
      </c>
    </row>
    <row r="1199" spans="1:11" ht="15.75" hidden="1" x14ac:dyDescent="0.25">
      <c r="A1199" s="48">
        <v>1198</v>
      </c>
      <c r="B1199" s="49" t="s">
        <v>2460</v>
      </c>
      <c r="C1199" s="49" t="s">
        <v>2461</v>
      </c>
      <c r="D1199" s="53" t="s">
        <v>47</v>
      </c>
      <c r="E1199" s="53" t="s">
        <v>56</v>
      </c>
      <c r="F1199" s="45">
        <f t="shared" si="163"/>
        <v>0</v>
      </c>
      <c r="G1199" s="58">
        <f t="shared" si="164"/>
        <v>0</v>
      </c>
    </row>
    <row r="1200" spans="1:11" ht="15.75" hidden="1" x14ac:dyDescent="0.25">
      <c r="A1200" s="48">
        <v>1199</v>
      </c>
      <c r="B1200" s="49" t="s">
        <v>2462</v>
      </c>
      <c r="C1200" s="49" t="s">
        <v>2463</v>
      </c>
      <c r="D1200" s="53" t="s">
        <v>64</v>
      </c>
      <c r="E1200" s="53" t="s">
        <v>186</v>
      </c>
      <c r="F1200" s="45">
        <f t="shared" si="159"/>
        <v>0</v>
      </c>
      <c r="G1200" s="58">
        <f t="shared" si="164"/>
        <v>0</v>
      </c>
    </row>
    <row r="1201" spans="1:16" ht="15.75" hidden="1" x14ac:dyDescent="0.25">
      <c r="A1201" s="48">
        <v>1200</v>
      </c>
      <c r="B1201" s="49" t="s">
        <v>2464</v>
      </c>
      <c r="C1201" s="49" t="s">
        <v>2465</v>
      </c>
      <c r="D1201" s="53" t="s">
        <v>47</v>
      </c>
      <c r="E1201" s="53" t="s">
        <v>48</v>
      </c>
      <c r="F1201" s="45">
        <f t="shared" ref="F1201:F1203" si="165">SUM($H1201:$P1201)</f>
        <v>0</v>
      </c>
      <c r="G1201" s="58">
        <f t="shared" si="164"/>
        <v>0</v>
      </c>
    </row>
    <row r="1202" spans="1:16" ht="15.75" hidden="1" x14ac:dyDescent="0.25">
      <c r="A1202" s="48">
        <v>1201</v>
      </c>
      <c r="B1202" s="49" t="s">
        <v>2466</v>
      </c>
      <c r="C1202" s="49" t="s">
        <v>2467</v>
      </c>
      <c r="D1202" s="53" t="s">
        <v>47</v>
      </c>
      <c r="E1202" s="53" t="s">
        <v>48</v>
      </c>
      <c r="F1202" s="45">
        <f t="shared" si="165"/>
        <v>0</v>
      </c>
      <c r="G1202" s="58">
        <f t="shared" si="164"/>
        <v>0</v>
      </c>
    </row>
    <row r="1203" spans="1:16" ht="15.75" hidden="1" x14ac:dyDescent="0.25">
      <c r="A1203" s="48">
        <v>1202</v>
      </c>
      <c r="B1203" s="49" t="s">
        <v>2468</v>
      </c>
      <c r="C1203" s="49" t="s">
        <v>2469</v>
      </c>
      <c r="D1203" s="53" t="s">
        <v>47</v>
      </c>
      <c r="E1203" s="53" t="s">
        <v>48</v>
      </c>
      <c r="F1203" s="45">
        <f t="shared" si="165"/>
        <v>0</v>
      </c>
      <c r="G1203" s="58">
        <f t="shared" si="164"/>
        <v>0</v>
      </c>
    </row>
    <row r="1204" spans="1:16" ht="15.75" hidden="1" x14ac:dyDescent="0.25">
      <c r="A1204" s="48">
        <v>1203</v>
      </c>
      <c r="B1204" s="49" t="s">
        <v>2470</v>
      </c>
      <c r="C1204" s="49" t="s">
        <v>2471</v>
      </c>
      <c r="D1204" s="53" t="s">
        <v>64</v>
      </c>
      <c r="E1204" s="53" t="s">
        <v>186</v>
      </c>
      <c r="F1204" s="45">
        <f t="shared" si="159"/>
        <v>0</v>
      </c>
      <c r="G1204" s="58">
        <f t="shared" si="164"/>
        <v>0</v>
      </c>
    </row>
    <row r="1205" spans="1:16" ht="15.75" hidden="1" x14ac:dyDescent="0.25">
      <c r="A1205" s="48">
        <v>1204</v>
      </c>
      <c r="B1205" s="49" t="s">
        <v>2472</v>
      </c>
      <c r="C1205" s="49" t="s">
        <v>2473</v>
      </c>
      <c r="D1205" s="53" t="s">
        <v>64</v>
      </c>
      <c r="E1205" s="53" t="s">
        <v>186</v>
      </c>
      <c r="F1205" s="45">
        <f t="shared" si="159"/>
        <v>0</v>
      </c>
      <c r="G1205" s="58">
        <f t="shared" si="164"/>
        <v>0</v>
      </c>
    </row>
    <row r="1206" spans="1:16" ht="15.75" hidden="1" x14ac:dyDescent="0.25">
      <c r="A1206" s="48">
        <v>1205</v>
      </c>
      <c r="B1206" s="49" t="s">
        <v>2474</v>
      </c>
      <c r="C1206" s="49" t="s">
        <v>2475</v>
      </c>
      <c r="D1206" s="53" t="s">
        <v>64</v>
      </c>
      <c r="E1206" s="53" t="s">
        <v>186</v>
      </c>
      <c r="F1206" s="45">
        <f t="shared" si="159"/>
        <v>0</v>
      </c>
      <c r="G1206" s="58">
        <f t="shared" si="164"/>
        <v>0</v>
      </c>
    </row>
    <row r="1207" spans="1:16" ht="15.75" hidden="1" x14ac:dyDescent="0.25">
      <c r="A1207" s="48">
        <v>1206</v>
      </c>
      <c r="B1207" s="49" t="s">
        <v>2476</v>
      </c>
      <c r="C1207" s="49" t="s">
        <v>2477</v>
      </c>
      <c r="D1207" s="53" t="s">
        <v>64</v>
      </c>
      <c r="E1207" s="53" t="s">
        <v>186</v>
      </c>
      <c r="F1207" s="45">
        <f t="shared" si="159"/>
        <v>0</v>
      </c>
      <c r="G1207" s="58">
        <f t="shared" si="164"/>
        <v>0</v>
      </c>
    </row>
    <row r="1208" spans="1:16" ht="15.75" hidden="1" x14ac:dyDescent="0.25">
      <c r="A1208" s="48">
        <v>1207</v>
      </c>
      <c r="B1208" s="49" t="s">
        <v>2478</v>
      </c>
      <c r="C1208" s="49" t="s">
        <v>2479</v>
      </c>
      <c r="D1208" s="53" t="s">
        <v>123</v>
      </c>
      <c r="E1208" s="53" t="s">
        <v>123</v>
      </c>
      <c r="F1208" s="45">
        <f t="shared" si="159"/>
        <v>0</v>
      </c>
      <c r="G1208" s="57"/>
      <c r="M1208"/>
      <c r="N1208"/>
      <c r="O1208"/>
      <c r="P1208"/>
    </row>
    <row r="1209" spans="1:16" ht="15.75" hidden="1" x14ac:dyDescent="0.25">
      <c r="A1209" s="48">
        <v>1208</v>
      </c>
      <c r="B1209" s="49" t="s">
        <v>2480</v>
      </c>
      <c r="C1209" s="49" t="s">
        <v>2481</v>
      </c>
      <c r="D1209" s="53" t="s">
        <v>47</v>
      </c>
      <c r="E1209" s="53" t="s">
        <v>48</v>
      </c>
      <c r="F1209" s="45">
        <f>SUM($H1209:$P1209)</f>
        <v>311</v>
      </c>
      <c r="G1209" s="58">
        <f t="shared" ref="G1209:G1272" si="166">F1209/60</f>
        <v>5.1833333333333336</v>
      </c>
      <c r="H1209" s="3">
        <v>90</v>
      </c>
      <c r="I1209" s="3">
        <v>71</v>
      </c>
      <c r="K1209" s="3">
        <v>90</v>
      </c>
      <c r="L1209" s="3">
        <v>60</v>
      </c>
    </row>
    <row r="1210" spans="1:16" ht="15.75" hidden="1" x14ac:dyDescent="0.25">
      <c r="A1210" s="48">
        <v>1209</v>
      </c>
      <c r="B1210" s="49" t="s">
        <v>2482</v>
      </c>
      <c r="C1210" s="49" t="s">
        <v>2483</v>
      </c>
      <c r="D1210" s="53" t="s">
        <v>64</v>
      </c>
      <c r="E1210" s="53" t="s">
        <v>186</v>
      </c>
      <c r="F1210" s="45">
        <f t="shared" si="159"/>
        <v>90</v>
      </c>
      <c r="G1210" s="58">
        <f t="shared" si="166"/>
        <v>1.5</v>
      </c>
      <c r="H1210" s="3">
        <v>90</v>
      </c>
    </row>
    <row r="1211" spans="1:16" ht="15.75" hidden="1" x14ac:dyDescent="0.25">
      <c r="A1211" s="48">
        <v>1210</v>
      </c>
      <c r="B1211" s="49" t="s">
        <v>2484</v>
      </c>
      <c r="C1211" s="49" t="s">
        <v>2485</v>
      </c>
      <c r="D1211" s="53" t="s">
        <v>47</v>
      </c>
      <c r="E1211" s="53" t="s">
        <v>56</v>
      </c>
      <c r="F1211" s="45">
        <f t="shared" ref="F1211:F1213" si="167">SUM($H1211:$P1211)</f>
        <v>90</v>
      </c>
      <c r="G1211" s="58">
        <f t="shared" si="166"/>
        <v>1.5</v>
      </c>
      <c r="H1211" s="3">
        <v>90</v>
      </c>
    </row>
    <row r="1212" spans="1:16" ht="15.75" hidden="1" x14ac:dyDescent="0.25">
      <c r="A1212" s="48">
        <v>1211</v>
      </c>
      <c r="B1212" s="49" t="s">
        <v>2486</v>
      </c>
      <c r="C1212" s="49" t="s">
        <v>2487</v>
      </c>
      <c r="D1212" s="53" t="s">
        <v>47</v>
      </c>
      <c r="E1212" s="53" t="s">
        <v>105</v>
      </c>
      <c r="F1212" s="45">
        <f t="shared" si="167"/>
        <v>0</v>
      </c>
      <c r="G1212" s="58">
        <f t="shared" si="166"/>
        <v>0</v>
      </c>
    </row>
    <row r="1213" spans="1:16" ht="15.75" hidden="1" x14ac:dyDescent="0.25">
      <c r="A1213" s="48">
        <v>1212</v>
      </c>
      <c r="B1213" s="49" t="s">
        <v>2488</v>
      </c>
      <c r="C1213" s="49" t="s">
        <v>2489</v>
      </c>
      <c r="D1213" s="53" t="s">
        <v>47</v>
      </c>
      <c r="E1213" s="53" t="s">
        <v>51</v>
      </c>
      <c r="F1213" s="45">
        <f t="shared" si="167"/>
        <v>180</v>
      </c>
      <c r="G1213" s="58">
        <f t="shared" si="166"/>
        <v>3</v>
      </c>
      <c r="K1213" s="3">
        <v>90</v>
      </c>
      <c r="N1213" s="3">
        <v>30</v>
      </c>
      <c r="O1213" s="3">
        <v>30</v>
      </c>
      <c r="P1213" s="3">
        <v>30</v>
      </c>
    </row>
    <row r="1214" spans="1:16" ht="15.75" hidden="1" x14ac:dyDescent="0.25">
      <c r="A1214" s="48">
        <v>1213</v>
      </c>
      <c r="B1214" s="49" t="s">
        <v>2490</v>
      </c>
      <c r="C1214" s="49" t="s">
        <v>2491</v>
      </c>
      <c r="D1214" s="53" t="s">
        <v>64</v>
      </c>
      <c r="E1214" s="53" t="s">
        <v>186</v>
      </c>
      <c r="F1214" s="45">
        <f t="shared" si="159"/>
        <v>0</v>
      </c>
      <c r="G1214" s="58">
        <f t="shared" si="166"/>
        <v>0</v>
      </c>
    </row>
    <row r="1215" spans="1:16" ht="15.75" hidden="1" x14ac:dyDescent="0.25">
      <c r="A1215" s="48">
        <v>1214</v>
      </c>
      <c r="B1215" s="49" t="s">
        <v>2492</v>
      </c>
      <c r="C1215" s="49" t="s">
        <v>2493</v>
      </c>
      <c r="D1215" s="53" t="s">
        <v>64</v>
      </c>
      <c r="E1215" s="53" t="s">
        <v>186</v>
      </c>
      <c r="F1215" s="45">
        <f t="shared" si="159"/>
        <v>0</v>
      </c>
      <c r="G1215" s="58">
        <f t="shared" si="166"/>
        <v>0</v>
      </c>
    </row>
    <row r="1216" spans="1:16" ht="15.75" hidden="1" x14ac:dyDescent="0.25">
      <c r="A1216" s="48">
        <v>1215</v>
      </c>
      <c r="B1216" s="49" t="s">
        <v>2494</v>
      </c>
      <c r="C1216" s="49" t="s">
        <v>2495</v>
      </c>
      <c r="D1216" s="53" t="s">
        <v>64</v>
      </c>
      <c r="E1216" s="53" t="s">
        <v>186</v>
      </c>
      <c r="F1216" s="45">
        <f t="shared" si="159"/>
        <v>0</v>
      </c>
      <c r="G1216" s="58">
        <f t="shared" si="166"/>
        <v>0</v>
      </c>
    </row>
    <row r="1217" spans="1:12" ht="15.75" hidden="1" x14ac:dyDescent="0.25">
      <c r="A1217" s="48">
        <v>1216</v>
      </c>
      <c r="B1217" s="49" t="s">
        <v>2496</v>
      </c>
      <c r="C1217" s="49" t="s">
        <v>2497</v>
      </c>
      <c r="D1217" s="53" t="s">
        <v>64</v>
      </c>
      <c r="E1217" s="53" t="s">
        <v>186</v>
      </c>
      <c r="F1217" s="45">
        <f t="shared" si="159"/>
        <v>0</v>
      </c>
      <c r="G1217" s="58">
        <f t="shared" si="166"/>
        <v>0</v>
      </c>
    </row>
    <row r="1218" spans="1:12" ht="15.75" hidden="1" x14ac:dyDescent="0.25">
      <c r="A1218" s="48">
        <v>1217</v>
      </c>
      <c r="B1218" s="49" t="s">
        <v>2498</v>
      </c>
      <c r="C1218" s="49" t="s">
        <v>2499</v>
      </c>
      <c r="D1218" s="53" t="s">
        <v>64</v>
      </c>
      <c r="E1218" s="53" t="s">
        <v>186</v>
      </c>
      <c r="F1218" s="45">
        <f t="shared" ref="F1218:F1277" si="168">SUM($H1218:$K1218)</f>
        <v>0</v>
      </c>
      <c r="G1218" s="58">
        <f t="shared" si="166"/>
        <v>0</v>
      </c>
    </row>
    <row r="1219" spans="1:12" ht="15.75" hidden="1" x14ac:dyDescent="0.25">
      <c r="A1219" s="48">
        <v>1218</v>
      </c>
      <c r="B1219" s="49" t="s">
        <v>2500</v>
      </c>
      <c r="C1219" s="49" t="s">
        <v>2501</v>
      </c>
      <c r="D1219" s="53" t="s">
        <v>64</v>
      </c>
      <c r="E1219" s="53" t="s">
        <v>186</v>
      </c>
      <c r="F1219" s="45">
        <f t="shared" si="168"/>
        <v>0</v>
      </c>
      <c r="G1219" s="58">
        <f t="shared" si="166"/>
        <v>0</v>
      </c>
    </row>
    <row r="1220" spans="1:12" ht="15.75" hidden="1" x14ac:dyDescent="0.25">
      <c r="A1220" s="48">
        <v>1219</v>
      </c>
      <c r="B1220" s="49" t="s">
        <v>2502</v>
      </c>
      <c r="C1220" s="49" t="s">
        <v>2503</v>
      </c>
      <c r="D1220" s="53" t="s">
        <v>64</v>
      </c>
      <c r="E1220" s="53" t="s">
        <v>186</v>
      </c>
      <c r="F1220" s="45">
        <f t="shared" si="168"/>
        <v>0</v>
      </c>
      <c r="G1220" s="58">
        <f t="shared" si="166"/>
        <v>0</v>
      </c>
    </row>
    <row r="1221" spans="1:12" ht="15.75" hidden="1" x14ac:dyDescent="0.25">
      <c r="A1221" s="48">
        <v>1220</v>
      </c>
      <c r="B1221" s="49" t="s">
        <v>2504</v>
      </c>
      <c r="C1221" s="49" t="s">
        <v>2505</v>
      </c>
      <c r="D1221" s="53" t="s">
        <v>64</v>
      </c>
      <c r="E1221" s="53" t="s">
        <v>186</v>
      </c>
      <c r="F1221" s="45">
        <f t="shared" si="168"/>
        <v>0</v>
      </c>
      <c r="G1221" s="58">
        <f t="shared" si="166"/>
        <v>0</v>
      </c>
    </row>
    <row r="1222" spans="1:12" ht="15.75" hidden="1" x14ac:dyDescent="0.25">
      <c r="A1222" s="48">
        <v>1221</v>
      </c>
      <c r="B1222" s="49" t="s">
        <v>2506</v>
      </c>
      <c r="C1222" s="49" t="s">
        <v>2507</v>
      </c>
      <c r="D1222" s="53" t="s">
        <v>64</v>
      </c>
      <c r="E1222" s="53" t="s">
        <v>186</v>
      </c>
      <c r="F1222" s="45">
        <f t="shared" si="168"/>
        <v>0</v>
      </c>
      <c r="G1222" s="58">
        <f t="shared" si="166"/>
        <v>0</v>
      </c>
    </row>
    <row r="1223" spans="1:12" ht="15.75" hidden="1" x14ac:dyDescent="0.25">
      <c r="A1223" s="48">
        <v>1222</v>
      </c>
      <c r="B1223" s="49" t="s">
        <v>2508</v>
      </c>
      <c r="C1223" s="49" t="s">
        <v>2509</v>
      </c>
      <c r="D1223" s="53" t="s">
        <v>64</v>
      </c>
      <c r="E1223" s="53" t="s">
        <v>186</v>
      </c>
      <c r="F1223" s="45">
        <f t="shared" si="168"/>
        <v>0</v>
      </c>
      <c r="G1223" s="58">
        <f t="shared" si="166"/>
        <v>0</v>
      </c>
    </row>
    <row r="1224" spans="1:12" ht="15.75" hidden="1" x14ac:dyDescent="0.25">
      <c r="A1224" s="48">
        <v>1223</v>
      </c>
      <c r="B1224" s="49" t="s">
        <v>2510</v>
      </c>
      <c r="C1224" s="49" t="s">
        <v>2511</v>
      </c>
      <c r="D1224" s="53" t="s">
        <v>64</v>
      </c>
      <c r="E1224" s="53" t="s">
        <v>186</v>
      </c>
      <c r="F1224" s="45">
        <f t="shared" si="168"/>
        <v>0</v>
      </c>
      <c r="G1224" s="58">
        <f t="shared" si="166"/>
        <v>0</v>
      </c>
    </row>
    <row r="1225" spans="1:12" ht="15.75" hidden="1" x14ac:dyDescent="0.25">
      <c r="A1225" s="48">
        <v>1224</v>
      </c>
      <c r="B1225" s="49" t="s">
        <v>2512</v>
      </c>
      <c r="C1225" s="49" t="s">
        <v>2513</v>
      </c>
      <c r="D1225" s="53" t="s">
        <v>47</v>
      </c>
      <c r="E1225" s="53" t="s">
        <v>48</v>
      </c>
      <c r="F1225" s="45">
        <f>SUM($H1225:$P1225)</f>
        <v>0</v>
      </c>
      <c r="G1225" s="58">
        <f t="shared" si="166"/>
        <v>0</v>
      </c>
    </row>
    <row r="1226" spans="1:12" ht="15.75" hidden="1" x14ac:dyDescent="0.25">
      <c r="A1226" s="48">
        <v>1225</v>
      </c>
      <c r="B1226" s="49" t="s">
        <v>2514</v>
      </c>
      <c r="C1226" s="49" t="s">
        <v>2515</v>
      </c>
      <c r="D1226" s="53" t="s">
        <v>64</v>
      </c>
      <c r="E1226" s="53" t="s">
        <v>186</v>
      </c>
      <c r="F1226" s="45">
        <f t="shared" si="168"/>
        <v>0</v>
      </c>
      <c r="G1226" s="58">
        <f t="shared" si="166"/>
        <v>0</v>
      </c>
    </row>
    <row r="1227" spans="1:12" ht="15.75" hidden="1" x14ac:dyDescent="0.25">
      <c r="A1227" s="48">
        <v>1226</v>
      </c>
      <c r="B1227" s="49" t="s">
        <v>2516</v>
      </c>
      <c r="C1227" s="49" t="s">
        <v>2517</v>
      </c>
      <c r="D1227" s="53" t="s">
        <v>47</v>
      </c>
      <c r="E1227" s="53" t="s">
        <v>105</v>
      </c>
      <c r="F1227" s="45">
        <f t="shared" ref="F1227:F1229" si="169">SUM($H1227:$P1227)</f>
        <v>60</v>
      </c>
      <c r="G1227" s="58">
        <f t="shared" si="166"/>
        <v>1</v>
      </c>
      <c r="L1227" s="3">
        <v>60</v>
      </c>
    </row>
    <row r="1228" spans="1:12" ht="15.75" hidden="1" x14ac:dyDescent="0.25">
      <c r="A1228" s="48">
        <v>1227</v>
      </c>
      <c r="B1228" s="49" t="s">
        <v>2518</v>
      </c>
      <c r="C1228" s="49" t="s">
        <v>2519</v>
      </c>
      <c r="D1228" s="53" t="s">
        <v>47</v>
      </c>
      <c r="E1228" s="53" t="s">
        <v>105</v>
      </c>
      <c r="F1228" s="45">
        <f t="shared" si="169"/>
        <v>60</v>
      </c>
      <c r="G1228" s="58">
        <f t="shared" si="166"/>
        <v>1</v>
      </c>
      <c r="L1228" s="3">
        <v>60</v>
      </c>
    </row>
    <row r="1229" spans="1:12" ht="15.75" hidden="1" x14ac:dyDescent="0.25">
      <c r="A1229" s="48">
        <v>1228</v>
      </c>
      <c r="B1229" s="49" t="s">
        <v>2520</v>
      </c>
      <c r="C1229" s="49" t="s">
        <v>2521</v>
      </c>
      <c r="D1229" s="53" t="s">
        <v>47</v>
      </c>
      <c r="E1229" s="53" t="s">
        <v>56</v>
      </c>
      <c r="F1229" s="45">
        <f t="shared" si="169"/>
        <v>0</v>
      </c>
      <c r="G1229" s="58">
        <f t="shared" si="166"/>
        <v>0</v>
      </c>
    </row>
    <row r="1230" spans="1:12" ht="15.75" hidden="1" x14ac:dyDescent="0.25">
      <c r="A1230" s="48">
        <v>1229</v>
      </c>
      <c r="B1230" s="49" t="s">
        <v>2522</v>
      </c>
      <c r="C1230" s="49" t="s">
        <v>2523</v>
      </c>
      <c r="D1230" s="53" t="s">
        <v>82</v>
      </c>
      <c r="E1230" s="53" t="s">
        <v>140</v>
      </c>
      <c r="F1230" s="45">
        <f t="shared" si="168"/>
        <v>0</v>
      </c>
      <c r="G1230" s="58">
        <f t="shared" si="166"/>
        <v>0</v>
      </c>
    </row>
    <row r="1231" spans="1:12" ht="15.75" hidden="1" x14ac:dyDescent="0.25">
      <c r="A1231" s="48">
        <v>1230</v>
      </c>
      <c r="B1231" s="49" t="s">
        <v>2524</v>
      </c>
      <c r="C1231" s="49" t="s">
        <v>2525</v>
      </c>
      <c r="D1231" s="53" t="s">
        <v>64</v>
      </c>
      <c r="E1231" s="53" t="s">
        <v>186</v>
      </c>
      <c r="F1231" s="45">
        <f t="shared" si="168"/>
        <v>0</v>
      </c>
      <c r="G1231" s="58">
        <f t="shared" si="166"/>
        <v>0</v>
      </c>
    </row>
    <row r="1232" spans="1:12" ht="15.75" hidden="1" x14ac:dyDescent="0.25">
      <c r="A1232" s="48">
        <v>1231</v>
      </c>
      <c r="B1232" s="49" t="s">
        <v>2526</v>
      </c>
      <c r="C1232" s="49" t="s">
        <v>2527</v>
      </c>
      <c r="D1232" s="53" t="s">
        <v>47</v>
      </c>
      <c r="E1232" s="53" t="s">
        <v>105</v>
      </c>
      <c r="F1232" s="45">
        <f t="shared" ref="F1232:F1240" si="170">SUM($H1232:$P1232)</f>
        <v>0</v>
      </c>
      <c r="G1232" s="58">
        <f t="shared" si="166"/>
        <v>0</v>
      </c>
    </row>
    <row r="1233" spans="1:16" ht="15.75" hidden="1" x14ac:dyDescent="0.25">
      <c r="A1233" s="48">
        <v>1232</v>
      </c>
      <c r="B1233" s="49" t="s">
        <v>2528</v>
      </c>
      <c r="C1233" s="49" t="s">
        <v>2529</v>
      </c>
      <c r="D1233" s="53" t="s">
        <v>47</v>
      </c>
      <c r="E1233" s="53" t="s">
        <v>79</v>
      </c>
      <c r="F1233" s="45">
        <f t="shared" si="170"/>
        <v>0</v>
      </c>
      <c r="G1233" s="58">
        <f t="shared" si="166"/>
        <v>0</v>
      </c>
    </row>
    <row r="1234" spans="1:16" ht="15.75" hidden="1" x14ac:dyDescent="0.25">
      <c r="A1234" s="48">
        <v>1233</v>
      </c>
      <c r="B1234" s="49" t="s">
        <v>2530</v>
      </c>
      <c r="C1234" s="49" t="s">
        <v>2531</v>
      </c>
      <c r="D1234" s="53" t="s">
        <v>47</v>
      </c>
      <c r="E1234" s="53" t="s">
        <v>48</v>
      </c>
      <c r="F1234" s="45">
        <f t="shared" si="170"/>
        <v>0</v>
      </c>
      <c r="G1234" s="58">
        <f t="shared" si="166"/>
        <v>0</v>
      </c>
    </row>
    <row r="1235" spans="1:16" ht="15.75" hidden="1" x14ac:dyDescent="0.25">
      <c r="A1235" s="48">
        <v>1234</v>
      </c>
      <c r="B1235" s="49" t="s">
        <v>2532</v>
      </c>
      <c r="C1235" s="49" t="s">
        <v>2533</v>
      </c>
      <c r="D1235" s="53" t="s">
        <v>47</v>
      </c>
      <c r="E1235" s="53" t="s">
        <v>48</v>
      </c>
      <c r="F1235" s="45">
        <f t="shared" si="170"/>
        <v>0</v>
      </c>
      <c r="G1235" s="58">
        <f t="shared" si="166"/>
        <v>0</v>
      </c>
    </row>
    <row r="1236" spans="1:16" ht="15.75" hidden="1" x14ac:dyDescent="0.25">
      <c r="A1236" s="48">
        <v>1235</v>
      </c>
      <c r="B1236" s="49" t="s">
        <v>2534</v>
      </c>
      <c r="C1236" s="49" t="s">
        <v>2535</v>
      </c>
      <c r="D1236" s="53" t="s">
        <v>47</v>
      </c>
      <c r="E1236" s="53" t="s">
        <v>105</v>
      </c>
      <c r="F1236" s="45">
        <f t="shared" si="170"/>
        <v>0</v>
      </c>
      <c r="G1236" s="58">
        <f t="shared" si="166"/>
        <v>0</v>
      </c>
    </row>
    <row r="1237" spans="1:16" ht="15.75" hidden="1" x14ac:dyDescent="0.25">
      <c r="A1237" s="48">
        <v>1236</v>
      </c>
      <c r="B1237" s="49" t="s">
        <v>2536</v>
      </c>
      <c r="C1237" s="49" t="s">
        <v>2537</v>
      </c>
      <c r="D1237" s="53" t="s">
        <v>47</v>
      </c>
      <c r="E1237" s="53" t="s">
        <v>56</v>
      </c>
      <c r="F1237" s="45">
        <f t="shared" si="170"/>
        <v>0</v>
      </c>
      <c r="G1237" s="58">
        <f t="shared" si="166"/>
        <v>0</v>
      </c>
    </row>
    <row r="1238" spans="1:16" ht="15.75" hidden="1" x14ac:dyDescent="0.25">
      <c r="A1238" s="48">
        <v>1237</v>
      </c>
      <c r="B1238" s="49" t="s">
        <v>2538</v>
      </c>
      <c r="C1238" s="49" t="s">
        <v>2539</v>
      </c>
      <c r="D1238" s="53" t="s">
        <v>47</v>
      </c>
      <c r="E1238" s="53" t="s">
        <v>105</v>
      </c>
      <c r="F1238" s="45">
        <f t="shared" si="170"/>
        <v>120</v>
      </c>
      <c r="G1238" s="58">
        <f t="shared" si="166"/>
        <v>2</v>
      </c>
      <c r="M1238" s="3">
        <v>30</v>
      </c>
      <c r="N1238" s="3">
        <v>30</v>
      </c>
      <c r="O1238" s="3">
        <v>30</v>
      </c>
      <c r="P1238" s="3">
        <v>30</v>
      </c>
    </row>
    <row r="1239" spans="1:16" ht="15.75" hidden="1" x14ac:dyDescent="0.25">
      <c r="A1239" s="48">
        <v>1238</v>
      </c>
      <c r="B1239" s="49" t="s">
        <v>2540</v>
      </c>
      <c r="C1239" s="49" t="s">
        <v>2541</v>
      </c>
      <c r="D1239" s="53" t="s">
        <v>47</v>
      </c>
      <c r="E1239" s="53" t="s">
        <v>48</v>
      </c>
      <c r="F1239" s="45">
        <f t="shared" si="170"/>
        <v>0</v>
      </c>
      <c r="G1239" s="58">
        <f t="shared" si="166"/>
        <v>0</v>
      </c>
    </row>
    <row r="1240" spans="1:16" ht="15.75" hidden="1" x14ac:dyDescent="0.25">
      <c r="A1240" s="48">
        <v>1239</v>
      </c>
      <c r="B1240" s="49" t="s">
        <v>2542</v>
      </c>
      <c r="C1240" s="49" t="s">
        <v>2543</v>
      </c>
      <c r="D1240" s="53" t="s">
        <v>47</v>
      </c>
      <c r="E1240" s="53" t="s">
        <v>56</v>
      </c>
      <c r="F1240" s="45">
        <f t="shared" si="170"/>
        <v>0</v>
      </c>
      <c r="G1240" s="58">
        <f t="shared" si="166"/>
        <v>0</v>
      </c>
    </row>
    <row r="1241" spans="1:16" ht="15.75" hidden="1" x14ac:dyDescent="0.25">
      <c r="A1241" s="48">
        <v>1240</v>
      </c>
      <c r="B1241" s="49" t="s">
        <v>2544</v>
      </c>
      <c r="C1241" s="49" t="s">
        <v>2545</v>
      </c>
      <c r="D1241" s="53" t="s">
        <v>64</v>
      </c>
      <c r="E1241" s="53" t="s">
        <v>186</v>
      </c>
      <c r="F1241" s="45">
        <f t="shared" si="168"/>
        <v>0</v>
      </c>
      <c r="G1241" s="58">
        <f t="shared" si="166"/>
        <v>0</v>
      </c>
    </row>
    <row r="1242" spans="1:16" ht="15.75" hidden="1" x14ac:dyDescent="0.25">
      <c r="A1242" s="48">
        <v>1241</v>
      </c>
      <c r="B1242" s="49" t="s">
        <v>2546</v>
      </c>
      <c r="C1242" s="49" t="s">
        <v>2547</v>
      </c>
      <c r="D1242" s="53" t="s">
        <v>47</v>
      </c>
      <c r="E1242" s="53" t="s">
        <v>51</v>
      </c>
      <c r="F1242" s="45">
        <f>SUM($H1242:$P1242)</f>
        <v>0</v>
      </c>
      <c r="G1242" s="58">
        <f t="shared" si="166"/>
        <v>0</v>
      </c>
    </row>
    <row r="1243" spans="1:16" ht="15.75" hidden="1" x14ac:dyDescent="0.25">
      <c r="A1243" s="48">
        <v>1242</v>
      </c>
      <c r="B1243" s="49" t="s">
        <v>2548</v>
      </c>
      <c r="C1243" s="49" t="s">
        <v>2549</v>
      </c>
      <c r="D1243" s="53" t="s">
        <v>64</v>
      </c>
      <c r="E1243" s="53" t="s">
        <v>186</v>
      </c>
      <c r="F1243" s="45">
        <f t="shared" si="168"/>
        <v>0</v>
      </c>
      <c r="G1243" s="58">
        <f t="shared" si="166"/>
        <v>0</v>
      </c>
    </row>
    <row r="1244" spans="1:16" ht="15.75" hidden="1" x14ac:dyDescent="0.25">
      <c r="A1244" s="48">
        <v>1243</v>
      </c>
      <c r="B1244" s="49" t="s">
        <v>2550</v>
      </c>
      <c r="C1244" s="49" t="s">
        <v>2551</v>
      </c>
      <c r="D1244" s="53" t="s">
        <v>64</v>
      </c>
      <c r="E1244" s="53" t="s">
        <v>186</v>
      </c>
      <c r="F1244" s="45">
        <f t="shared" si="168"/>
        <v>0</v>
      </c>
      <c r="G1244" s="58">
        <f t="shared" si="166"/>
        <v>0</v>
      </c>
    </row>
    <row r="1245" spans="1:16" ht="15.75" hidden="1" x14ac:dyDescent="0.25">
      <c r="A1245" s="48">
        <v>1244</v>
      </c>
      <c r="B1245" s="49" t="s">
        <v>2552</v>
      </c>
      <c r="C1245" s="49" t="s">
        <v>2553</v>
      </c>
      <c r="D1245" s="53" t="s">
        <v>64</v>
      </c>
      <c r="E1245" s="53" t="s">
        <v>186</v>
      </c>
      <c r="F1245" s="45">
        <f t="shared" si="168"/>
        <v>0</v>
      </c>
      <c r="G1245" s="58">
        <f t="shared" si="166"/>
        <v>0</v>
      </c>
    </row>
    <row r="1246" spans="1:16" ht="15.75" hidden="1" x14ac:dyDescent="0.25">
      <c r="A1246" s="48">
        <v>1245</v>
      </c>
      <c r="B1246" s="49" t="s">
        <v>2554</v>
      </c>
      <c r="C1246" s="49" t="s">
        <v>2555</v>
      </c>
      <c r="D1246" s="53" t="s">
        <v>64</v>
      </c>
      <c r="E1246" s="53" t="s">
        <v>186</v>
      </c>
      <c r="F1246" s="45">
        <f t="shared" si="168"/>
        <v>0</v>
      </c>
      <c r="G1246" s="58">
        <f t="shared" si="166"/>
        <v>0</v>
      </c>
    </row>
    <row r="1247" spans="1:16" ht="15.75" hidden="1" x14ac:dyDescent="0.25">
      <c r="A1247" s="48">
        <v>1246</v>
      </c>
      <c r="B1247" s="49" t="s">
        <v>2556</v>
      </c>
      <c r="C1247" s="49" t="s">
        <v>2557</v>
      </c>
      <c r="D1247" s="53" t="s">
        <v>47</v>
      </c>
      <c r="E1247" s="53" t="s">
        <v>51</v>
      </c>
      <c r="F1247" s="45">
        <f>SUM($H1247:$P1247)</f>
        <v>0</v>
      </c>
      <c r="G1247" s="58">
        <f t="shared" si="166"/>
        <v>0</v>
      </c>
    </row>
    <row r="1248" spans="1:16" ht="15.75" hidden="1" x14ac:dyDescent="0.25">
      <c r="A1248" s="48">
        <v>1247</v>
      </c>
      <c r="B1248" s="49" t="s">
        <v>2558</v>
      </c>
      <c r="C1248" s="49" t="s">
        <v>2559</v>
      </c>
      <c r="D1248" s="53" t="s">
        <v>64</v>
      </c>
      <c r="E1248" s="53" t="s">
        <v>186</v>
      </c>
      <c r="F1248" s="45">
        <f t="shared" si="168"/>
        <v>0</v>
      </c>
      <c r="G1248" s="58">
        <f t="shared" si="166"/>
        <v>0</v>
      </c>
    </row>
    <row r="1249" spans="1:16" ht="15.75" hidden="1" x14ac:dyDescent="0.25">
      <c r="A1249" s="48">
        <v>1248</v>
      </c>
      <c r="B1249" s="49" t="s">
        <v>2560</v>
      </c>
      <c r="C1249" s="49" t="s">
        <v>2561</v>
      </c>
      <c r="D1249" s="53" t="s">
        <v>64</v>
      </c>
      <c r="E1249" s="53" t="s">
        <v>186</v>
      </c>
      <c r="F1249" s="45">
        <f t="shared" si="168"/>
        <v>0</v>
      </c>
      <c r="G1249" s="58">
        <f t="shared" si="166"/>
        <v>0</v>
      </c>
    </row>
    <row r="1250" spans="1:16" ht="15.75" hidden="1" x14ac:dyDescent="0.25">
      <c r="A1250" s="48">
        <v>1249</v>
      </c>
      <c r="B1250" s="49" t="s">
        <v>2562</v>
      </c>
      <c r="C1250" s="49" t="s">
        <v>2563</v>
      </c>
      <c r="D1250" s="53" t="s">
        <v>64</v>
      </c>
      <c r="E1250" s="53" t="s">
        <v>65</v>
      </c>
      <c r="F1250" s="45">
        <f t="shared" si="168"/>
        <v>180</v>
      </c>
      <c r="G1250" s="58">
        <f t="shared" si="166"/>
        <v>3</v>
      </c>
      <c r="H1250" s="3">
        <v>90</v>
      </c>
      <c r="K1250" s="3">
        <v>90</v>
      </c>
      <c r="L1250" s="3">
        <v>60</v>
      </c>
    </row>
    <row r="1251" spans="1:16" ht="15.75" hidden="1" x14ac:dyDescent="0.25">
      <c r="A1251" s="48">
        <v>1250</v>
      </c>
      <c r="B1251" s="49" t="s">
        <v>2564</v>
      </c>
      <c r="C1251" s="49" t="s">
        <v>2565</v>
      </c>
      <c r="D1251" s="53" t="s">
        <v>47</v>
      </c>
      <c r="E1251" s="53" t="s">
        <v>48</v>
      </c>
      <c r="F1251" s="45">
        <f t="shared" ref="F1251:F1256" si="171">SUM($H1251:$P1251)</f>
        <v>270</v>
      </c>
      <c r="G1251" s="58">
        <f t="shared" si="166"/>
        <v>4.5</v>
      </c>
      <c r="K1251" s="3">
        <v>90</v>
      </c>
      <c r="L1251" s="3">
        <v>60</v>
      </c>
      <c r="M1251" s="3">
        <v>30</v>
      </c>
      <c r="N1251" s="3">
        <v>30</v>
      </c>
      <c r="O1251" s="3">
        <v>30</v>
      </c>
      <c r="P1251" s="3">
        <v>30</v>
      </c>
    </row>
    <row r="1252" spans="1:16" ht="15.75" hidden="1" x14ac:dyDescent="0.25">
      <c r="A1252" s="48">
        <v>1251</v>
      </c>
      <c r="B1252" s="49" t="s">
        <v>2566</v>
      </c>
      <c r="C1252" s="49" t="s">
        <v>2567</v>
      </c>
      <c r="D1252" s="53" t="s">
        <v>47</v>
      </c>
      <c r="E1252" s="53" t="s">
        <v>116</v>
      </c>
      <c r="F1252" s="45">
        <f t="shared" si="171"/>
        <v>0</v>
      </c>
      <c r="G1252" s="58">
        <f t="shared" si="166"/>
        <v>0</v>
      </c>
    </row>
    <row r="1253" spans="1:16" ht="15.75" hidden="1" x14ac:dyDescent="0.25">
      <c r="A1253" s="48">
        <v>1252</v>
      </c>
      <c r="B1253" s="49" t="s">
        <v>2568</v>
      </c>
      <c r="C1253" s="49" t="s">
        <v>2569</v>
      </c>
      <c r="D1253" s="53" t="s">
        <v>47</v>
      </c>
      <c r="E1253" s="53" t="s">
        <v>116</v>
      </c>
      <c r="F1253" s="45">
        <f t="shared" si="171"/>
        <v>0</v>
      </c>
      <c r="G1253" s="58">
        <f t="shared" si="166"/>
        <v>0</v>
      </c>
    </row>
    <row r="1254" spans="1:16" ht="15.75" hidden="1" x14ac:dyDescent="0.25">
      <c r="A1254" s="48">
        <v>1253</v>
      </c>
      <c r="B1254" s="49" t="s">
        <v>2570</v>
      </c>
      <c r="C1254" s="49" t="s">
        <v>2571</v>
      </c>
      <c r="D1254" s="53" t="s">
        <v>47</v>
      </c>
      <c r="E1254" s="53" t="s">
        <v>51</v>
      </c>
      <c r="F1254" s="45">
        <f t="shared" si="171"/>
        <v>0</v>
      </c>
      <c r="G1254" s="58">
        <f t="shared" si="166"/>
        <v>0</v>
      </c>
    </row>
    <row r="1255" spans="1:16" ht="15.75" hidden="1" x14ac:dyDescent="0.25">
      <c r="A1255" s="48">
        <v>1254</v>
      </c>
      <c r="B1255" s="49" t="s">
        <v>2572</v>
      </c>
      <c r="C1255" s="49" t="s">
        <v>2573</v>
      </c>
      <c r="D1255" s="53" t="s">
        <v>47</v>
      </c>
      <c r="E1255" s="53" t="s">
        <v>51</v>
      </c>
      <c r="F1255" s="45">
        <f t="shared" si="171"/>
        <v>90</v>
      </c>
      <c r="G1255" s="58">
        <f t="shared" si="166"/>
        <v>1.5</v>
      </c>
      <c r="N1255" s="3">
        <v>30</v>
      </c>
      <c r="O1255" s="3">
        <v>30</v>
      </c>
      <c r="P1255" s="3">
        <v>30</v>
      </c>
    </row>
    <row r="1256" spans="1:16" ht="15.75" hidden="1" x14ac:dyDescent="0.25">
      <c r="A1256" s="48">
        <v>1255</v>
      </c>
      <c r="B1256" s="49" t="s">
        <v>2574</v>
      </c>
      <c r="C1256" s="49" t="s">
        <v>2575</v>
      </c>
      <c r="D1256" s="53" t="s">
        <v>47</v>
      </c>
      <c r="E1256" s="53" t="s">
        <v>56</v>
      </c>
      <c r="F1256" s="45">
        <f t="shared" si="171"/>
        <v>0</v>
      </c>
      <c r="G1256" s="58">
        <f t="shared" si="166"/>
        <v>0</v>
      </c>
    </row>
    <row r="1257" spans="1:16" ht="15.75" hidden="1" x14ac:dyDescent="0.25">
      <c r="A1257" s="48">
        <v>1256</v>
      </c>
      <c r="B1257" s="49" t="s">
        <v>2576</v>
      </c>
      <c r="C1257" s="49" t="s">
        <v>2577</v>
      </c>
      <c r="D1257" s="53" t="s">
        <v>64</v>
      </c>
      <c r="E1257" s="53" t="s">
        <v>65</v>
      </c>
      <c r="F1257" s="45">
        <f t="shared" si="168"/>
        <v>0</v>
      </c>
      <c r="G1257" s="58">
        <f t="shared" si="166"/>
        <v>0</v>
      </c>
    </row>
    <row r="1258" spans="1:16" ht="15.75" hidden="1" x14ac:dyDescent="0.25">
      <c r="A1258" s="48">
        <v>1257</v>
      </c>
      <c r="B1258" s="49" t="s">
        <v>2578</v>
      </c>
      <c r="C1258" s="49" t="s">
        <v>2579</v>
      </c>
      <c r="D1258" s="53" t="s">
        <v>47</v>
      </c>
      <c r="E1258" s="53" t="s">
        <v>56</v>
      </c>
      <c r="F1258" s="45">
        <f t="shared" ref="F1258:F1270" si="172">SUM($H1258:$P1258)</f>
        <v>0</v>
      </c>
      <c r="G1258" s="58">
        <f t="shared" si="166"/>
        <v>0</v>
      </c>
    </row>
    <row r="1259" spans="1:16" ht="15.75" hidden="1" x14ac:dyDescent="0.25">
      <c r="A1259" s="48">
        <v>1258</v>
      </c>
      <c r="B1259" s="49" t="s">
        <v>2580</v>
      </c>
      <c r="C1259" s="49" t="s">
        <v>2581</v>
      </c>
      <c r="D1259" s="53" t="s">
        <v>47</v>
      </c>
      <c r="E1259" s="53" t="s">
        <v>105</v>
      </c>
      <c r="F1259" s="45">
        <f t="shared" si="172"/>
        <v>0</v>
      </c>
      <c r="G1259" s="58">
        <f t="shared" si="166"/>
        <v>0</v>
      </c>
    </row>
    <row r="1260" spans="1:16" ht="15.75" hidden="1" x14ac:dyDescent="0.25">
      <c r="A1260" s="48">
        <v>1259</v>
      </c>
      <c r="B1260" s="49" t="s">
        <v>2582</v>
      </c>
      <c r="C1260" s="49" t="s">
        <v>2583</v>
      </c>
      <c r="D1260" s="53" t="s">
        <v>47</v>
      </c>
      <c r="E1260" s="53" t="s">
        <v>105</v>
      </c>
      <c r="F1260" s="45">
        <f t="shared" si="172"/>
        <v>0</v>
      </c>
      <c r="G1260" s="58">
        <f t="shared" si="166"/>
        <v>0</v>
      </c>
    </row>
    <row r="1261" spans="1:16" ht="15.75" hidden="1" x14ac:dyDescent="0.25">
      <c r="A1261" s="48">
        <v>1260</v>
      </c>
      <c r="B1261" s="49" t="s">
        <v>2584</v>
      </c>
      <c r="C1261" s="49" t="s">
        <v>2585</v>
      </c>
      <c r="D1261" s="53" t="s">
        <v>47</v>
      </c>
      <c r="E1261" s="53" t="s">
        <v>56</v>
      </c>
      <c r="F1261" s="45">
        <f t="shared" si="172"/>
        <v>0</v>
      </c>
      <c r="G1261" s="58">
        <f t="shared" si="166"/>
        <v>0</v>
      </c>
    </row>
    <row r="1262" spans="1:16" ht="15.75" hidden="1" x14ac:dyDescent="0.25">
      <c r="A1262" s="48">
        <v>1261</v>
      </c>
      <c r="B1262" s="49" t="s">
        <v>2586</v>
      </c>
      <c r="C1262" s="49" t="s">
        <v>2587</v>
      </c>
      <c r="D1262" s="53" t="s">
        <v>47</v>
      </c>
      <c r="E1262" s="53" t="s">
        <v>48</v>
      </c>
      <c r="F1262" s="45">
        <f t="shared" si="172"/>
        <v>287</v>
      </c>
      <c r="G1262" s="58">
        <f t="shared" si="166"/>
        <v>4.7833333333333332</v>
      </c>
      <c r="H1262" s="3">
        <v>90</v>
      </c>
      <c r="I1262" s="3">
        <v>77</v>
      </c>
      <c r="K1262" s="3">
        <v>90</v>
      </c>
      <c r="M1262" s="3">
        <v>30</v>
      </c>
    </row>
    <row r="1263" spans="1:16" ht="15.75" hidden="1" x14ac:dyDescent="0.25">
      <c r="A1263" s="48">
        <v>1262</v>
      </c>
      <c r="B1263" s="49" t="s">
        <v>2588</v>
      </c>
      <c r="C1263" s="49" t="s">
        <v>2589</v>
      </c>
      <c r="D1263" s="53" t="s">
        <v>47</v>
      </c>
      <c r="E1263" s="53" t="s">
        <v>48</v>
      </c>
      <c r="F1263" s="45">
        <f t="shared" si="172"/>
        <v>0</v>
      </c>
      <c r="G1263" s="58">
        <f t="shared" si="166"/>
        <v>0</v>
      </c>
    </row>
    <row r="1264" spans="1:16" ht="15.75" hidden="1" x14ac:dyDescent="0.25">
      <c r="A1264" s="48">
        <v>1263</v>
      </c>
      <c r="B1264" s="49" t="s">
        <v>2590</v>
      </c>
      <c r="C1264" s="49" t="s">
        <v>2591</v>
      </c>
      <c r="D1264" s="53" t="s">
        <v>47</v>
      </c>
      <c r="E1264" s="53" t="s">
        <v>48</v>
      </c>
      <c r="F1264" s="45">
        <f t="shared" si="172"/>
        <v>0</v>
      </c>
      <c r="G1264" s="58">
        <f t="shared" si="166"/>
        <v>0</v>
      </c>
    </row>
    <row r="1265" spans="1:12" ht="15.75" hidden="1" x14ac:dyDescent="0.25">
      <c r="A1265" s="48">
        <v>1264</v>
      </c>
      <c r="B1265" s="49" t="s">
        <v>2592</v>
      </c>
      <c r="C1265" s="49" t="s">
        <v>2593</v>
      </c>
      <c r="D1265" s="53" t="s">
        <v>47</v>
      </c>
      <c r="E1265" s="53" t="s">
        <v>105</v>
      </c>
      <c r="F1265" s="45">
        <f t="shared" si="172"/>
        <v>0</v>
      </c>
      <c r="G1265" s="58">
        <f t="shared" si="166"/>
        <v>0</v>
      </c>
    </row>
    <row r="1266" spans="1:12" ht="15.75" hidden="1" x14ac:dyDescent="0.25">
      <c r="A1266" s="48">
        <v>1265</v>
      </c>
      <c r="B1266" s="49" t="s">
        <v>2594</v>
      </c>
      <c r="C1266" s="49" t="s">
        <v>2595</v>
      </c>
      <c r="D1266" s="53" t="s">
        <v>47</v>
      </c>
      <c r="E1266" s="53" t="s">
        <v>48</v>
      </c>
      <c r="F1266" s="45">
        <f t="shared" si="172"/>
        <v>0</v>
      </c>
      <c r="G1266" s="58">
        <f t="shared" si="166"/>
        <v>0</v>
      </c>
    </row>
    <row r="1267" spans="1:12" ht="15.75" hidden="1" x14ac:dyDescent="0.25">
      <c r="A1267" s="48">
        <v>1266</v>
      </c>
      <c r="B1267" s="49" t="s">
        <v>2596</v>
      </c>
      <c r="C1267" s="49" t="s">
        <v>2597</v>
      </c>
      <c r="D1267" s="53" t="s">
        <v>47</v>
      </c>
      <c r="E1267" s="53" t="s">
        <v>105</v>
      </c>
      <c r="F1267" s="45">
        <f t="shared" si="172"/>
        <v>0</v>
      </c>
      <c r="G1267" s="58">
        <f t="shared" si="166"/>
        <v>0</v>
      </c>
    </row>
    <row r="1268" spans="1:12" ht="15.75" hidden="1" x14ac:dyDescent="0.25">
      <c r="A1268" s="48">
        <v>1267</v>
      </c>
      <c r="B1268" s="49" t="s">
        <v>2598</v>
      </c>
      <c r="C1268" s="49" t="s">
        <v>2599</v>
      </c>
      <c r="D1268" s="53" t="s">
        <v>47</v>
      </c>
      <c r="E1268" s="53" t="s">
        <v>116</v>
      </c>
      <c r="F1268" s="45">
        <f t="shared" si="172"/>
        <v>0</v>
      </c>
      <c r="G1268" s="58">
        <f t="shared" si="166"/>
        <v>0</v>
      </c>
    </row>
    <row r="1269" spans="1:12" ht="15.75" hidden="1" x14ac:dyDescent="0.25">
      <c r="A1269" s="48">
        <v>1268</v>
      </c>
      <c r="B1269" s="49" t="s">
        <v>2600</v>
      </c>
      <c r="C1269" s="49" t="s">
        <v>2601</v>
      </c>
      <c r="D1269" s="53" t="s">
        <v>47</v>
      </c>
      <c r="E1269" s="53" t="s">
        <v>105</v>
      </c>
      <c r="F1269" s="45">
        <f t="shared" si="172"/>
        <v>0</v>
      </c>
      <c r="G1269" s="58">
        <f t="shared" si="166"/>
        <v>0</v>
      </c>
    </row>
    <row r="1270" spans="1:12" ht="15.75" hidden="1" x14ac:dyDescent="0.25">
      <c r="A1270" s="48">
        <v>1269</v>
      </c>
      <c r="B1270" s="49" t="s">
        <v>2602</v>
      </c>
      <c r="C1270" s="49" t="s">
        <v>2603</v>
      </c>
      <c r="D1270" s="53" t="s">
        <v>47</v>
      </c>
      <c r="E1270" s="53" t="s">
        <v>51</v>
      </c>
      <c r="F1270" s="45">
        <f t="shared" si="172"/>
        <v>0</v>
      </c>
      <c r="G1270" s="58">
        <f t="shared" si="166"/>
        <v>0</v>
      </c>
    </row>
    <row r="1271" spans="1:12" ht="15.75" hidden="1" x14ac:dyDescent="0.25">
      <c r="A1271" s="48">
        <v>1270</v>
      </c>
      <c r="B1271" s="49" t="s">
        <v>2604</v>
      </c>
      <c r="C1271" s="49" t="s">
        <v>2605</v>
      </c>
      <c r="D1271" s="53" t="s">
        <v>82</v>
      </c>
      <c r="E1271" s="53" t="s">
        <v>140</v>
      </c>
      <c r="F1271" s="45">
        <f t="shared" si="168"/>
        <v>257</v>
      </c>
      <c r="G1271" s="58">
        <f t="shared" si="166"/>
        <v>4.2833333333333332</v>
      </c>
      <c r="H1271" s="3">
        <v>90</v>
      </c>
      <c r="I1271" s="3">
        <v>77</v>
      </c>
      <c r="K1271" s="3">
        <v>90</v>
      </c>
    </row>
    <row r="1272" spans="1:12" ht="15.75" hidden="1" x14ac:dyDescent="0.25">
      <c r="A1272" s="48">
        <v>1271</v>
      </c>
      <c r="B1272" s="49" t="s">
        <v>2606</v>
      </c>
      <c r="C1272" s="49" t="s">
        <v>2607</v>
      </c>
      <c r="D1272" s="53" t="s">
        <v>47</v>
      </c>
      <c r="E1272" s="53" t="s">
        <v>79</v>
      </c>
      <c r="F1272" s="45">
        <f t="shared" ref="F1272:F1275" si="173">SUM($H1272:$P1272)</f>
        <v>160</v>
      </c>
      <c r="G1272" s="58">
        <f t="shared" si="166"/>
        <v>2.6666666666666665</v>
      </c>
      <c r="I1272" s="3">
        <v>40</v>
      </c>
      <c r="J1272" s="3">
        <v>60</v>
      </c>
      <c r="L1272" s="3">
        <v>60</v>
      </c>
    </row>
    <row r="1273" spans="1:12" ht="15.75" hidden="1" x14ac:dyDescent="0.25">
      <c r="A1273" s="48">
        <v>1272</v>
      </c>
      <c r="B1273" s="49" t="s">
        <v>2608</v>
      </c>
      <c r="C1273" s="49" t="s">
        <v>2609</v>
      </c>
      <c r="D1273" s="53" t="s">
        <v>47</v>
      </c>
      <c r="E1273" s="53" t="s">
        <v>105</v>
      </c>
      <c r="F1273" s="45">
        <f t="shared" si="173"/>
        <v>0</v>
      </c>
      <c r="G1273" s="58">
        <f t="shared" ref="G1273:G1336" si="174">F1273/60</f>
        <v>0</v>
      </c>
    </row>
    <row r="1274" spans="1:12" ht="15.75" hidden="1" x14ac:dyDescent="0.25">
      <c r="A1274" s="48">
        <v>1273</v>
      </c>
      <c r="B1274" s="49" t="s">
        <v>2610</v>
      </c>
      <c r="C1274" s="49" t="s">
        <v>2611</v>
      </c>
      <c r="D1274" s="53" t="s">
        <v>47</v>
      </c>
      <c r="E1274" s="53" t="s">
        <v>48</v>
      </c>
      <c r="F1274" s="45">
        <f t="shared" si="173"/>
        <v>0</v>
      </c>
      <c r="G1274" s="58">
        <f t="shared" si="174"/>
        <v>0</v>
      </c>
    </row>
    <row r="1275" spans="1:12" ht="15.75" hidden="1" x14ac:dyDescent="0.25">
      <c r="A1275" s="48">
        <v>1274</v>
      </c>
      <c r="B1275" s="49" t="s">
        <v>2612</v>
      </c>
      <c r="C1275" s="49" t="s">
        <v>2613</v>
      </c>
      <c r="D1275" s="53" t="s">
        <v>47</v>
      </c>
      <c r="E1275" s="53" t="s">
        <v>79</v>
      </c>
      <c r="F1275" s="45">
        <f t="shared" si="173"/>
        <v>218</v>
      </c>
      <c r="G1275" s="58">
        <f t="shared" si="174"/>
        <v>3.6333333333333333</v>
      </c>
      <c r="H1275" s="3">
        <v>90</v>
      </c>
      <c r="I1275" s="3">
        <v>68</v>
      </c>
      <c r="L1275" s="3">
        <v>60</v>
      </c>
    </row>
    <row r="1276" spans="1:12" ht="15.75" hidden="1" x14ac:dyDescent="0.25">
      <c r="A1276" s="48">
        <v>1275</v>
      </c>
      <c r="B1276" s="49" t="s">
        <v>2614</v>
      </c>
      <c r="C1276" s="49" t="s">
        <v>2615</v>
      </c>
      <c r="D1276" s="53" t="s">
        <v>82</v>
      </c>
      <c r="E1276" s="53" t="s">
        <v>140</v>
      </c>
      <c r="F1276" s="45">
        <f t="shared" si="168"/>
        <v>0</v>
      </c>
      <c r="G1276" s="58">
        <f t="shared" si="174"/>
        <v>0</v>
      </c>
    </row>
    <row r="1277" spans="1:12" ht="15.75" hidden="1" x14ac:dyDescent="0.25">
      <c r="A1277" s="48">
        <v>1276</v>
      </c>
      <c r="B1277" s="49" t="s">
        <v>2616</v>
      </c>
      <c r="C1277" s="49" t="s">
        <v>2617</v>
      </c>
      <c r="D1277" s="53" t="s">
        <v>64</v>
      </c>
      <c r="E1277" s="53" t="s">
        <v>186</v>
      </c>
      <c r="F1277" s="45">
        <f t="shared" si="168"/>
        <v>0</v>
      </c>
      <c r="G1277" s="58">
        <f t="shared" si="174"/>
        <v>0</v>
      </c>
    </row>
    <row r="1278" spans="1:12" ht="15.75" hidden="1" x14ac:dyDescent="0.25">
      <c r="A1278" s="48">
        <v>1277</v>
      </c>
      <c r="B1278" s="49" t="s">
        <v>2618</v>
      </c>
      <c r="C1278" s="49" t="s">
        <v>2619</v>
      </c>
      <c r="D1278" s="53" t="s">
        <v>47</v>
      </c>
      <c r="E1278" s="53" t="s">
        <v>105</v>
      </c>
      <c r="F1278" s="45">
        <f t="shared" ref="F1278:F1286" si="175">SUM($H1278:$P1278)</f>
        <v>0</v>
      </c>
      <c r="G1278" s="58">
        <f t="shared" si="174"/>
        <v>0</v>
      </c>
    </row>
    <row r="1279" spans="1:12" ht="15.75" hidden="1" x14ac:dyDescent="0.25">
      <c r="A1279" s="48">
        <v>1278</v>
      </c>
      <c r="B1279" s="49" t="s">
        <v>2620</v>
      </c>
      <c r="C1279" s="49" t="s">
        <v>2621</v>
      </c>
      <c r="D1279" s="53" t="s">
        <v>47</v>
      </c>
      <c r="E1279" s="53" t="s">
        <v>56</v>
      </c>
      <c r="F1279" s="45">
        <f t="shared" si="175"/>
        <v>0</v>
      </c>
      <c r="G1279" s="58">
        <f t="shared" si="174"/>
        <v>0</v>
      </c>
    </row>
    <row r="1280" spans="1:12" ht="15.75" hidden="1" x14ac:dyDescent="0.25">
      <c r="A1280" s="48">
        <v>1279</v>
      </c>
      <c r="B1280" s="49" t="s">
        <v>2622</v>
      </c>
      <c r="C1280" s="49" t="s">
        <v>2623</v>
      </c>
      <c r="D1280" s="53" t="s">
        <v>47</v>
      </c>
      <c r="E1280" s="53" t="s">
        <v>48</v>
      </c>
      <c r="F1280" s="45">
        <f t="shared" si="175"/>
        <v>0</v>
      </c>
      <c r="G1280" s="58">
        <f t="shared" si="174"/>
        <v>0</v>
      </c>
    </row>
    <row r="1281" spans="1:11" ht="15.75" hidden="1" x14ac:dyDescent="0.25">
      <c r="A1281" s="48">
        <v>1280</v>
      </c>
      <c r="B1281" s="49" t="s">
        <v>2624</v>
      </c>
      <c r="C1281" s="49" t="s">
        <v>2625</v>
      </c>
      <c r="D1281" s="53" t="s">
        <v>47</v>
      </c>
      <c r="E1281" s="53" t="s">
        <v>48</v>
      </c>
      <c r="F1281" s="45">
        <f t="shared" si="175"/>
        <v>0</v>
      </c>
      <c r="G1281" s="58">
        <f t="shared" si="174"/>
        <v>0</v>
      </c>
    </row>
    <row r="1282" spans="1:11" ht="15.75" hidden="1" x14ac:dyDescent="0.25">
      <c r="A1282" s="48">
        <v>1281</v>
      </c>
      <c r="B1282" s="49" t="s">
        <v>2626</v>
      </c>
      <c r="C1282" s="49" t="s">
        <v>2627</v>
      </c>
      <c r="D1282" s="53" t="s">
        <v>47</v>
      </c>
      <c r="E1282" s="53" t="s">
        <v>48</v>
      </c>
      <c r="F1282" s="45">
        <f t="shared" si="175"/>
        <v>0</v>
      </c>
      <c r="G1282" s="58">
        <f t="shared" si="174"/>
        <v>0</v>
      </c>
    </row>
    <row r="1283" spans="1:11" ht="15.75" hidden="1" x14ac:dyDescent="0.25">
      <c r="A1283" s="48">
        <v>1282</v>
      </c>
      <c r="B1283" s="49" t="s">
        <v>2628</v>
      </c>
      <c r="C1283" s="49" t="s">
        <v>2629</v>
      </c>
      <c r="D1283" s="53" t="s">
        <v>47</v>
      </c>
      <c r="E1283" s="53" t="s">
        <v>48</v>
      </c>
      <c r="F1283" s="45">
        <f t="shared" si="175"/>
        <v>0</v>
      </c>
      <c r="G1283" s="58">
        <f t="shared" si="174"/>
        <v>0</v>
      </c>
    </row>
    <row r="1284" spans="1:11" ht="15.75" hidden="1" x14ac:dyDescent="0.25">
      <c r="A1284" s="48">
        <v>1283</v>
      </c>
      <c r="B1284" s="49" t="s">
        <v>2630</v>
      </c>
      <c r="C1284" s="49" t="s">
        <v>2631</v>
      </c>
      <c r="D1284" s="53" t="s">
        <v>47</v>
      </c>
      <c r="E1284" s="53" t="s">
        <v>48</v>
      </c>
      <c r="F1284" s="45">
        <f t="shared" si="175"/>
        <v>0</v>
      </c>
      <c r="G1284" s="58">
        <f t="shared" si="174"/>
        <v>0</v>
      </c>
    </row>
    <row r="1285" spans="1:11" ht="15.75" hidden="1" x14ac:dyDescent="0.25">
      <c r="A1285" s="48">
        <v>1284</v>
      </c>
      <c r="B1285" s="49" t="s">
        <v>2632</v>
      </c>
      <c r="C1285" s="49" t="s">
        <v>2633</v>
      </c>
      <c r="D1285" s="53" t="s">
        <v>47</v>
      </c>
      <c r="E1285" s="53" t="s">
        <v>48</v>
      </c>
      <c r="F1285" s="45">
        <f t="shared" si="175"/>
        <v>0</v>
      </c>
      <c r="G1285" s="58">
        <f t="shared" si="174"/>
        <v>0</v>
      </c>
    </row>
    <row r="1286" spans="1:11" ht="15.75" hidden="1" x14ac:dyDescent="0.25">
      <c r="A1286" s="48">
        <v>1285</v>
      </c>
      <c r="B1286" s="49" t="s">
        <v>2634</v>
      </c>
      <c r="C1286" s="49" t="s">
        <v>2635</v>
      </c>
      <c r="D1286" s="53" t="s">
        <v>47</v>
      </c>
      <c r="E1286" s="53" t="s">
        <v>48</v>
      </c>
      <c r="F1286" s="45">
        <f t="shared" si="175"/>
        <v>60</v>
      </c>
      <c r="G1286" s="58">
        <f t="shared" si="174"/>
        <v>1</v>
      </c>
      <c r="J1286" s="3">
        <v>60</v>
      </c>
    </row>
    <row r="1287" spans="1:11" ht="15.75" hidden="1" x14ac:dyDescent="0.25">
      <c r="A1287" s="48">
        <v>1286</v>
      </c>
      <c r="B1287" s="49" t="s">
        <v>2636</v>
      </c>
      <c r="C1287" s="49" t="s">
        <v>2637</v>
      </c>
      <c r="D1287" s="53" t="s">
        <v>64</v>
      </c>
      <c r="E1287" s="53" t="s">
        <v>186</v>
      </c>
      <c r="F1287" s="45">
        <f t="shared" ref="F1287:F1342" si="176">SUM($H1287:$K1287)</f>
        <v>0</v>
      </c>
      <c r="G1287" s="58">
        <f t="shared" si="174"/>
        <v>0</v>
      </c>
    </row>
    <row r="1288" spans="1:11" ht="15.75" hidden="1" x14ac:dyDescent="0.25">
      <c r="A1288" s="48">
        <v>1287</v>
      </c>
      <c r="B1288" s="49" t="s">
        <v>2638</v>
      </c>
      <c r="C1288" s="49" t="s">
        <v>2639</v>
      </c>
      <c r="D1288" s="53" t="s">
        <v>47</v>
      </c>
      <c r="E1288" s="53" t="s">
        <v>48</v>
      </c>
      <c r="F1288" s="45">
        <f t="shared" ref="F1288:F1301" si="177">SUM($H1288:$P1288)</f>
        <v>0</v>
      </c>
      <c r="G1288" s="58">
        <f t="shared" si="174"/>
        <v>0</v>
      </c>
    </row>
    <row r="1289" spans="1:11" ht="15.75" hidden="1" x14ac:dyDescent="0.25">
      <c r="A1289" s="48">
        <v>1288</v>
      </c>
      <c r="B1289" s="49" t="s">
        <v>2640</v>
      </c>
      <c r="C1289" s="49" t="s">
        <v>2641</v>
      </c>
      <c r="D1289" s="53" t="s">
        <v>47</v>
      </c>
      <c r="E1289" s="53" t="s">
        <v>48</v>
      </c>
      <c r="F1289" s="45">
        <f t="shared" si="177"/>
        <v>0</v>
      </c>
      <c r="G1289" s="58">
        <f t="shared" si="174"/>
        <v>0</v>
      </c>
    </row>
    <row r="1290" spans="1:11" ht="15.75" hidden="1" x14ac:dyDescent="0.25">
      <c r="A1290" s="48">
        <v>1289</v>
      </c>
      <c r="B1290" s="49" t="s">
        <v>2642</v>
      </c>
      <c r="C1290" s="49" t="s">
        <v>2643</v>
      </c>
      <c r="D1290" s="53" t="s">
        <v>47</v>
      </c>
      <c r="E1290" s="53" t="s">
        <v>105</v>
      </c>
      <c r="F1290" s="45">
        <f t="shared" si="177"/>
        <v>0</v>
      </c>
      <c r="G1290" s="58">
        <f t="shared" si="174"/>
        <v>0</v>
      </c>
    </row>
    <row r="1291" spans="1:11" ht="15.75" hidden="1" x14ac:dyDescent="0.25">
      <c r="A1291" s="48">
        <v>1290</v>
      </c>
      <c r="B1291" s="49" t="s">
        <v>2644</v>
      </c>
      <c r="C1291" s="49" t="s">
        <v>2645</v>
      </c>
      <c r="D1291" s="53" t="s">
        <v>47</v>
      </c>
      <c r="E1291" s="53" t="s">
        <v>105</v>
      </c>
      <c r="F1291" s="45">
        <f t="shared" si="177"/>
        <v>90</v>
      </c>
      <c r="G1291" s="58">
        <f t="shared" si="174"/>
        <v>1.5</v>
      </c>
      <c r="H1291" s="3">
        <v>90</v>
      </c>
    </row>
    <row r="1292" spans="1:11" ht="15.75" hidden="1" x14ac:dyDescent="0.25">
      <c r="A1292" s="48">
        <v>1291</v>
      </c>
      <c r="B1292" s="49" t="s">
        <v>2646</v>
      </c>
      <c r="C1292" s="49" t="s">
        <v>2647</v>
      </c>
      <c r="D1292" s="53" t="s">
        <v>47</v>
      </c>
      <c r="E1292" s="53" t="s">
        <v>105</v>
      </c>
      <c r="F1292" s="45">
        <f t="shared" si="177"/>
        <v>0</v>
      </c>
      <c r="G1292" s="58">
        <f t="shared" si="174"/>
        <v>0</v>
      </c>
    </row>
    <row r="1293" spans="1:11" ht="15.75" hidden="1" x14ac:dyDescent="0.25">
      <c r="A1293" s="48">
        <v>1292</v>
      </c>
      <c r="B1293" s="49" t="s">
        <v>2648</v>
      </c>
      <c r="C1293" s="49" t="s">
        <v>2649</v>
      </c>
      <c r="D1293" s="53" t="s">
        <v>47</v>
      </c>
      <c r="E1293" s="53" t="s">
        <v>48</v>
      </c>
      <c r="F1293" s="45">
        <f t="shared" si="177"/>
        <v>0</v>
      </c>
      <c r="G1293" s="58">
        <f t="shared" si="174"/>
        <v>0</v>
      </c>
    </row>
    <row r="1294" spans="1:11" ht="15.75" hidden="1" x14ac:dyDescent="0.25">
      <c r="A1294" s="48">
        <v>1293</v>
      </c>
      <c r="B1294" s="49" t="s">
        <v>2650</v>
      </c>
      <c r="C1294" s="49" t="s">
        <v>2651</v>
      </c>
      <c r="D1294" s="53" t="s">
        <v>47</v>
      </c>
      <c r="E1294" s="53" t="s">
        <v>51</v>
      </c>
      <c r="F1294" s="45">
        <f t="shared" si="177"/>
        <v>0</v>
      </c>
      <c r="G1294" s="58">
        <f t="shared" si="174"/>
        <v>0</v>
      </c>
    </row>
    <row r="1295" spans="1:11" ht="15.75" hidden="1" x14ac:dyDescent="0.25">
      <c r="A1295" s="48">
        <v>1294</v>
      </c>
      <c r="B1295" s="49" t="s">
        <v>2652</v>
      </c>
      <c r="C1295" s="49" t="s">
        <v>2653</v>
      </c>
      <c r="D1295" s="53" t="s">
        <v>47</v>
      </c>
      <c r="E1295" s="53" t="s">
        <v>56</v>
      </c>
      <c r="F1295" s="45">
        <f t="shared" si="177"/>
        <v>150</v>
      </c>
      <c r="G1295" s="58">
        <f t="shared" si="174"/>
        <v>2.5</v>
      </c>
      <c r="J1295" s="3">
        <v>60</v>
      </c>
      <c r="K1295" s="3">
        <v>90</v>
      </c>
    </row>
    <row r="1296" spans="1:11" ht="15.75" hidden="1" x14ac:dyDescent="0.25">
      <c r="A1296" s="48">
        <v>1295</v>
      </c>
      <c r="B1296" s="49" t="s">
        <v>2654</v>
      </c>
      <c r="C1296" s="49" t="s">
        <v>2655</v>
      </c>
      <c r="D1296" s="53" t="s">
        <v>47</v>
      </c>
      <c r="E1296" s="53" t="s">
        <v>105</v>
      </c>
      <c r="F1296" s="45">
        <f t="shared" si="177"/>
        <v>0</v>
      </c>
      <c r="G1296" s="58">
        <f t="shared" si="174"/>
        <v>0</v>
      </c>
    </row>
    <row r="1297" spans="1:12" ht="15.75" hidden="1" x14ac:dyDescent="0.25">
      <c r="A1297" s="48">
        <v>1296</v>
      </c>
      <c r="B1297" s="49" t="s">
        <v>2656</v>
      </c>
      <c r="C1297" s="49" t="s">
        <v>2657</v>
      </c>
      <c r="D1297" s="53" t="s">
        <v>47</v>
      </c>
      <c r="E1297" s="53" t="s">
        <v>48</v>
      </c>
      <c r="F1297" s="45">
        <f t="shared" si="177"/>
        <v>0</v>
      </c>
      <c r="G1297" s="58">
        <f t="shared" si="174"/>
        <v>0</v>
      </c>
    </row>
    <row r="1298" spans="1:12" ht="15.75" hidden="1" x14ac:dyDescent="0.25">
      <c r="A1298" s="48">
        <v>1297</v>
      </c>
      <c r="B1298" s="49" t="s">
        <v>2658</v>
      </c>
      <c r="C1298" s="49" t="s">
        <v>2659</v>
      </c>
      <c r="D1298" s="53" t="s">
        <v>47</v>
      </c>
      <c r="E1298" s="53" t="s">
        <v>116</v>
      </c>
      <c r="F1298" s="45">
        <f t="shared" si="177"/>
        <v>0</v>
      </c>
      <c r="G1298" s="58">
        <f t="shared" si="174"/>
        <v>0</v>
      </c>
    </row>
    <row r="1299" spans="1:12" ht="15.75" hidden="1" x14ac:dyDescent="0.25">
      <c r="A1299" s="48">
        <v>1298</v>
      </c>
      <c r="B1299" s="49" t="s">
        <v>2660</v>
      </c>
      <c r="C1299" s="49" t="s">
        <v>2661</v>
      </c>
      <c r="D1299" s="53" t="s">
        <v>47</v>
      </c>
      <c r="E1299" s="53" t="s">
        <v>79</v>
      </c>
      <c r="F1299" s="45">
        <f t="shared" si="177"/>
        <v>0</v>
      </c>
      <c r="G1299" s="58">
        <f t="shared" si="174"/>
        <v>0</v>
      </c>
    </row>
    <row r="1300" spans="1:12" ht="15.75" hidden="1" x14ac:dyDescent="0.25">
      <c r="A1300" s="48">
        <v>1299</v>
      </c>
      <c r="B1300" s="49" t="s">
        <v>2662</v>
      </c>
      <c r="C1300" s="49" t="s">
        <v>2663</v>
      </c>
      <c r="D1300" s="53" t="s">
        <v>47</v>
      </c>
      <c r="E1300" s="53" t="s">
        <v>105</v>
      </c>
      <c r="F1300" s="45">
        <f t="shared" si="177"/>
        <v>0</v>
      </c>
      <c r="G1300" s="58">
        <f t="shared" si="174"/>
        <v>0</v>
      </c>
    </row>
    <row r="1301" spans="1:12" ht="15.75" hidden="1" x14ac:dyDescent="0.25">
      <c r="A1301" s="48">
        <v>1300</v>
      </c>
      <c r="B1301" s="49" t="s">
        <v>2664</v>
      </c>
      <c r="C1301" s="49" t="s">
        <v>2665</v>
      </c>
      <c r="D1301" s="53" t="s">
        <v>47</v>
      </c>
      <c r="E1301" s="53" t="s">
        <v>56</v>
      </c>
      <c r="F1301" s="45">
        <f t="shared" si="177"/>
        <v>0</v>
      </c>
      <c r="G1301" s="58">
        <f t="shared" si="174"/>
        <v>0</v>
      </c>
    </row>
    <row r="1302" spans="1:12" ht="15.75" hidden="1" x14ac:dyDescent="0.25">
      <c r="A1302" s="48">
        <v>1301</v>
      </c>
      <c r="B1302" s="49" t="s">
        <v>2666</v>
      </c>
      <c r="C1302" s="49" t="s">
        <v>2667</v>
      </c>
      <c r="D1302" s="53" t="s">
        <v>64</v>
      </c>
      <c r="E1302" s="53" t="s">
        <v>186</v>
      </c>
      <c r="F1302" s="45">
        <f t="shared" si="176"/>
        <v>0</v>
      </c>
      <c r="G1302" s="58">
        <f t="shared" si="174"/>
        <v>0</v>
      </c>
      <c r="L1302" s="3">
        <v>60</v>
      </c>
    </row>
    <row r="1303" spans="1:12" ht="15.75" hidden="1" x14ac:dyDescent="0.25">
      <c r="A1303" s="48">
        <v>1302</v>
      </c>
      <c r="B1303" s="49" t="s">
        <v>2668</v>
      </c>
      <c r="C1303" s="49" t="s">
        <v>2669</v>
      </c>
      <c r="D1303" s="53" t="s">
        <v>47</v>
      </c>
      <c r="E1303" s="53" t="s">
        <v>56</v>
      </c>
      <c r="F1303" s="45">
        <f>SUM($H1303:$P1303)</f>
        <v>90</v>
      </c>
      <c r="G1303" s="58">
        <f t="shared" si="174"/>
        <v>1.5</v>
      </c>
      <c r="H1303" s="3">
        <v>90</v>
      </c>
    </row>
    <row r="1304" spans="1:12" ht="15.75" hidden="1" x14ac:dyDescent="0.25">
      <c r="A1304" s="48">
        <v>1303</v>
      </c>
      <c r="B1304" s="49" t="s">
        <v>2670</v>
      </c>
      <c r="C1304" s="49" t="s">
        <v>2671</v>
      </c>
      <c r="D1304" s="53" t="s">
        <v>64</v>
      </c>
      <c r="E1304" s="53" t="s">
        <v>186</v>
      </c>
      <c r="F1304" s="45">
        <f t="shared" si="176"/>
        <v>90</v>
      </c>
      <c r="G1304" s="58">
        <f t="shared" si="174"/>
        <v>1.5</v>
      </c>
      <c r="H1304" s="3">
        <v>90</v>
      </c>
    </row>
    <row r="1305" spans="1:12" ht="15.75" hidden="1" x14ac:dyDescent="0.25">
      <c r="A1305" s="48">
        <v>1304</v>
      </c>
      <c r="B1305" s="49" t="s">
        <v>2672</v>
      </c>
      <c r="C1305" s="49" t="s">
        <v>2673</v>
      </c>
      <c r="D1305" s="53" t="s">
        <v>47</v>
      </c>
      <c r="E1305" s="53" t="s">
        <v>116</v>
      </c>
      <c r="F1305" s="45">
        <f t="shared" ref="F1305:F1306" si="178">SUM($H1305:$P1305)</f>
        <v>90</v>
      </c>
      <c r="G1305" s="58">
        <f t="shared" si="174"/>
        <v>1.5</v>
      </c>
      <c r="K1305" s="3">
        <v>90</v>
      </c>
    </row>
    <row r="1306" spans="1:12" ht="15.75" hidden="1" x14ac:dyDescent="0.25">
      <c r="A1306" s="48">
        <v>1305</v>
      </c>
      <c r="B1306" s="49" t="s">
        <v>2674</v>
      </c>
      <c r="C1306" s="49" t="s">
        <v>2675</v>
      </c>
      <c r="D1306" s="53" t="s">
        <v>47</v>
      </c>
      <c r="E1306" s="53" t="s">
        <v>105</v>
      </c>
      <c r="F1306" s="45">
        <f t="shared" si="178"/>
        <v>90</v>
      </c>
      <c r="G1306" s="58">
        <f t="shared" si="174"/>
        <v>1.5</v>
      </c>
      <c r="H1306" s="3">
        <v>90</v>
      </c>
    </row>
    <row r="1307" spans="1:12" ht="15.75" hidden="1" x14ac:dyDescent="0.25">
      <c r="A1307" s="48">
        <v>1306</v>
      </c>
      <c r="B1307" s="49" t="s">
        <v>2676</v>
      </c>
      <c r="C1307" s="49" t="s">
        <v>2677</v>
      </c>
      <c r="D1307" s="53" t="s">
        <v>64</v>
      </c>
      <c r="E1307" s="53" t="s">
        <v>186</v>
      </c>
      <c r="F1307" s="45">
        <f t="shared" si="176"/>
        <v>0</v>
      </c>
      <c r="G1307" s="58">
        <f t="shared" si="174"/>
        <v>0</v>
      </c>
    </row>
    <row r="1308" spans="1:12" ht="15.75" hidden="1" x14ac:dyDescent="0.25">
      <c r="A1308" s="48">
        <v>1307</v>
      </c>
      <c r="B1308" s="49" t="s">
        <v>2678</v>
      </c>
      <c r="C1308" s="49" t="s">
        <v>2679</v>
      </c>
      <c r="D1308" s="53" t="s">
        <v>47</v>
      </c>
      <c r="E1308" s="53" t="s">
        <v>79</v>
      </c>
      <c r="F1308" s="45">
        <f>SUM($H1308:$P1308)</f>
        <v>0</v>
      </c>
      <c r="G1308" s="58">
        <f t="shared" si="174"/>
        <v>0</v>
      </c>
    </row>
    <row r="1309" spans="1:12" ht="15.75" hidden="1" x14ac:dyDescent="0.25">
      <c r="A1309" s="48">
        <v>1308</v>
      </c>
      <c r="B1309" s="49" t="s">
        <v>2680</v>
      </c>
      <c r="C1309" s="49" t="s">
        <v>2681</v>
      </c>
      <c r="D1309" s="53" t="s">
        <v>64</v>
      </c>
      <c r="E1309" s="53" t="s">
        <v>186</v>
      </c>
      <c r="F1309" s="45">
        <f t="shared" si="176"/>
        <v>0</v>
      </c>
      <c r="G1309" s="58">
        <f t="shared" si="174"/>
        <v>0</v>
      </c>
    </row>
    <row r="1310" spans="1:12" ht="15.75" hidden="1" x14ac:dyDescent="0.25">
      <c r="A1310" s="48">
        <v>1309</v>
      </c>
      <c r="B1310" s="49" t="s">
        <v>2682</v>
      </c>
      <c r="C1310" s="49" t="s">
        <v>2683</v>
      </c>
      <c r="D1310" s="53" t="s">
        <v>47</v>
      </c>
      <c r="E1310" s="53" t="s">
        <v>51</v>
      </c>
      <c r="F1310" s="45">
        <f>SUM($H1310:$P1310)</f>
        <v>0</v>
      </c>
      <c r="G1310" s="58">
        <f t="shared" si="174"/>
        <v>0</v>
      </c>
    </row>
    <row r="1311" spans="1:12" ht="15.75" hidden="1" x14ac:dyDescent="0.25">
      <c r="A1311" s="48">
        <v>1310</v>
      </c>
      <c r="B1311" s="49" t="s">
        <v>2684</v>
      </c>
      <c r="C1311" s="49" t="s">
        <v>2685</v>
      </c>
      <c r="D1311" s="53" t="s">
        <v>82</v>
      </c>
      <c r="E1311" s="53" t="s">
        <v>140</v>
      </c>
      <c r="F1311" s="45">
        <f t="shared" si="176"/>
        <v>0</v>
      </c>
      <c r="G1311" s="58">
        <f t="shared" si="174"/>
        <v>0</v>
      </c>
    </row>
    <row r="1312" spans="1:12" ht="15.75" hidden="1" x14ac:dyDescent="0.25">
      <c r="A1312" s="48">
        <v>1311</v>
      </c>
      <c r="B1312" s="49" t="s">
        <v>2686</v>
      </c>
      <c r="C1312" s="49" t="s">
        <v>2687</v>
      </c>
      <c r="D1312" s="53" t="s">
        <v>47</v>
      </c>
      <c r="E1312" s="53" t="s">
        <v>105</v>
      </c>
      <c r="F1312" s="45">
        <f>SUM($H1312:$P1312)</f>
        <v>0</v>
      </c>
      <c r="G1312" s="58">
        <f t="shared" si="174"/>
        <v>0</v>
      </c>
    </row>
    <row r="1313" spans="1:16" ht="15.75" hidden="1" x14ac:dyDescent="0.25">
      <c r="A1313" s="48">
        <v>1312</v>
      </c>
      <c r="B1313" s="49" t="s">
        <v>2688</v>
      </c>
      <c r="C1313" s="49" t="s">
        <v>2689</v>
      </c>
      <c r="D1313" s="53" t="s">
        <v>64</v>
      </c>
      <c r="E1313" s="53" t="s">
        <v>186</v>
      </c>
      <c r="F1313" s="45">
        <f t="shared" si="176"/>
        <v>0</v>
      </c>
      <c r="G1313" s="58">
        <f t="shared" si="174"/>
        <v>0</v>
      </c>
    </row>
    <row r="1314" spans="1:16" ht="15.75" hidden="1" x14ac:dyDescent="0.25">
      <c r="A1314" s="48">
        <v>1313</v>
      </c>
      <c r="B1314" s="49" t="s">
        <v>2690</v>
      </c>
      <c r="C1314" s="49" t="s">
        <v>2691</v>
      </c>
      <c r="D1314" s="53" t="s">
        <v>47</v>
      </c>
      <c r="E1314" s="53" t="s">
        <v>105</v>
      </c>
      <c r="F1314" s="45">
        <f>SUM($H1314:$P1314)</f>
        <v>0</v>
      </c>
      <c r="G1314" s="58">
        <f t="shared" si="174"/>
        <v>0</v>
      </c>
    </row>
    <row r="1315" spans="1:16" ht="15.75" hidden="1" x14ac:dyDescent="0.25">
      <c r="A1315" s="48">
        <v>1314</v>
      </c>
      <c r="B1315" s="49" t="s">
        <v>2692</v>
      </c>
      <c r="C1315" s="49" t="s">
        <v>2693</v>
      </c>
      <c r="D1315" s="53" t="s">
        <v>64</v>
      </c>
      <c r="E1315" s="53" t="s">
        <v>186</v>
      </c>
      <c r="F1315" s="45">
        <f t="shared" si="176"/>
        <v>0</v>
      </c>
      <c r="G1315" s="58">
        <f t="shared" si="174"/>
        <v>0</v>
      </c>
    </row>
    <row r="1316" spans="1:16" ht="15.75" hidden="1" x14ac:dyDescent="0.25">
      <c r="A1316" s="48">
        <v>1315</v>
      </c>
      <c r="B1316" s="49" t="s">
        <v>2694</v>
      </c>
      <c r="C1316" s="49" t="s">
        <v>2695</v>
      </c>
      <c r="D1316" s="53" t="s">
        <v>47</v>
      </c>
      <c r="E1316" s="53" t="s">
        <v>105</v>
      </c>
      <c r="F1316" s="45">
        <f>SUM($H1316:$P1316)</f>
        <v>0</v>
      </c>
      <c r="G1316" s="58">
        <f t="shared" si="174"/>
        <v>0</v>
      </c>
    </row>
    <row r="1317" spans="1:16" ht="15.75" hidden="1" x14ac:dyDescent="0.25">
      <c r="A1317" s="48">
        <v>1316</v>
      </c>
      <c r="B1317" s="49" t="s">
        <v>2696</v>
      </c>
      <c r="C1317" s="49" t="s">
        <v>2697</v>
      </c>
      <c r="D1317" s="53" t="s">
        <v>64</v>
      </c>
      <c r="E1317" s="53" t="s">
        <v>186</v>
      </c>
      <c r="F1317" s="45">
        <f t="shared" si="176"/>
        <v>0</v>
      </c>
      <c r="G1317" s="58">
        <f t="shared" si="174"/>
        <v>0</v>
      </c>
    </row>
    <row r="1318" spans="1:16" ht="15.75" hidden="1" x14ac:dyDescent="0.25">
      <c r="A1318" s="48">
        <v>1317</v>
      </c>
      <c r="B1318" s="49" t="s">
        <v>2698</v>
      </c>
      <c r="C1318" s="49" t="s">
        <v>2699</v>
      </c>
      <c r="D1318" s="53" t="s">
        <v>64</v>
      </c>
      <c r="E1318" s="53" t="s">
        <v>186</v>
      </c>
      <c r="F1318" s="45">
        <f t="shared" si="176"/>
        <v>0</v>
      </c>
      <c r="G1318" s="58">
        <f t="shared" si="174"/>
        <v>0</v>
      </c>
    </row>
    <row r="1319" spans="1:16" ht="15.75" hidden="1" x14ac:dyDescent="0.25">
      <c r="A1319" s="48">
        <v>1318</v>
      </c>
      <c r="B1319" s="49" t="s">
        <v>2700</v>
      </c>
      <c r="C1319" s="49" t="s">
        <v>2701</v>
      </c>
      <c r="D1319" s="53" t="s">
        <v>47</v>
      </c>
      <c r="E1319" s="53" t="s">
        <v>56</v>
      </c>
      <c r="F1319" s="45">
        <f>SUM($H1319:$P1319)</f>
        <v>0</v>
      </c>
      <c r="G1319" s="58">
        <f t="shared" si="174"/>
        <v>0</v>
      </c>
    </row>
    <row r="1320" spans="1:16" ht="15.75" hidden="1" x14ac:dyDescent="0.25">
      <c r="A1320" s="48">
        <v>1319</v>
      </c>
      <c r="B1320" s="49" t="s">
        <v>2702</v>
      </c>
      <c r="C1320" s="49" t="s">
        <v>2703</v>
      </c>
      <c r="D1320" s="53" t="s">
        <v>64</v>
      </c>
      <c r="E1320" s="53" t="s">
        <v>186</v>
      </c>
      <c r="F1320" s="45">
        <f t="shared" si="176"/>
        <v>0</v>
      </c>
      <c r="G1320" s="58">
        <f t="shared" si="174"/>
        <v>0</v>
      </c>
    </row>
    <row r="1321" spans="1:16" ht="15.75" hidden="1" x14ac:dyDescent="0.25">
      <c r="A1321" s="48">
        <v>1320</v>
      </c>
      <c r="B1321" s="49" t="s">
        <v>2704</v>
      </c>
      <c r="C1321" s="49" t="s">
        <v>2705</v>
      </c>
      <c r="D1321" s="53" t="s">
        <v>64</v>
      </c>
      <c r="E1321" s="53" t="s">
        <v>186</v>
      </c>
      <c r="F1321" s="45">
        <f t="shared" si="176"/>
        <v>0</v>
      </c>
      <c r="G1321" s="58">
        <f t="shared" si="174"/>
        <v>0</v>
      </c>
    </row>
    <row r="1322" spans="1:16" ht="15.75" hidden="1" x14ac:dyDescent="0.25">
      <c r="A1322" s="48">
        <v>1321</v>
      </c>
      <c r="B1322" s="49" t="s">
        <v>2706</v>
      </c>
      <c r="C1322" s="49" t="s">
        <v>2707</v>
      </c>
      <c r="D1322" s="53" t="s">
        <v>64</v>
      </c>
      <c r="E1322" s="53" t="s">
        <v>186</v>
      </c>
      <c r="F1322" s="45">
        <f t="shared" si="176"/>
        <v>0</v>
      </c>
      <c r="G1322" s="58">
        <f t="shared" si="174"/>
        <v>0</v>
      </c>
    </row>
    <row r="1323" spans="1:16" ht="15.75" hidden="1" x14ac:dyDescent="0.25">
      <c r="A1323" s="48">
        <v>1322</v>
      </c>
      <c r="B1323" s="49" t="s">
        <v>2708</v>
      </c>
      <c r="C1323" s="49" t="s">
        <v>2709</v>
      </c>
      <c r="D1323" s="53" t="s">
        <v>64</v>
      </c>
      <c r="E1323" s="53" t="s">
        <v>186</v>
      </c>
      <c r="F1323" s="45">
        <f t="shared" si="176"/>
        <v>0</v>
      </c>
      <c r="G1323" s="58">
        <f t="shared" si="174"/>
        <v>0</v>
      </c>
    </row>
    <row r="1324" spans="1:16" ht="15.75" hidden="1" x14ac:dyDescent="0.25">
      <c r="A1324" s="48">
        <v>1323</v>
      </c>
      <c r="B1324" s="49" t="s">
        <v>2710</v>
      </c>
      <c r="C1324" s="49" t="s">
        <v>2711</v>
      </c>
      <c r="D1324" s="53" t="s">
        <v>64</v>
      </c>
      <c r="E1324" s="53" t="s">
        <v>186</v>
      </c>
      <c r="F1324" s="45">
        <f t="shared" si="176"/>
        <v>0</v>
      </c>
      <c r="G1324" s="58">
        <f t="shared" si="174"/>
        <v>0</v>
      </c>
    </row>
    <row r="1325" spans="1:16" ht="15.75" hidden="1" x14ac:dyDescent="0.25">
      <c r="A1325" s="48">
        <v>1324</v>
      </c>
      <c r="B1325" s="49" t="s">
        <v>2712</v>
      </c>
      <c r="C1325" s="49" t="s">
        <v>2713</v>
      </c>
      <c r="D1325" s="53" t="s">
        <v>64</v>
      </c>
      <c r="E1325" s="53" t="s">
        <v>186</v>
      </c>
      <c r="F1325" s="45">
        <f t="shared" si="176"/>
        <v>0</v>
      </c>
      <c r="G1325" s="58">
        <f t="shared" si="174"/>
        <v>0</v>
      </c>
    </row>
    <row r="1326" spans="1:16" ht="15.75" hidden="1" x14ac:dyDescent="0.25">
      <c r="A1326" s="48">
        <v>1325</v>
      </c>
      <c r="B1326" s="49" t="s">
        <v>2714</v>
      </c>
      <c r="C1326" s="49" t="s">
        <v>2715</v>
      </c>
      <c r="D1326" s="53" t="s">
        <v>47</v>
      </c>
      <c r="E1326" s="53" t="s">
        <v>56</v>
      </c>
      <c r="F1326" s="45">
        <f>SUM($H1326:$P1326)</f>
        <v>0</v>
      </c>
      <c r="G1326" s="58">
        <f t="shared" si="174"/>
        <v>0</v>
      </c>
    </row>
    <row r="1327" spans="1:16" ht="15.75" hidden="1" x14ac:dyDescent="0.25">
      <c r="A1327" s="48">
        <v>1326</v>
      </c>
      <c r="B1327" s="49" t="s">
        <v>2716</v>
      </c>
      <c r="C1327" s="49" t="s">
        <v>2717</v>
      </c>
      <c r="D1327" s="53" t="s">
        <v>64</v>
      </c>
      <c r="E1327" s="53" t="s">
        <v>186</v>
      </c>
      <c r="F1327" s="45">
        <f t="shared" si="176"/>
        <v>0</v>
      </c>
      <c r="G1327" s="58">
        <f t="shared" si="174"/>
        <v>0</v>
      </c>
    </row>
    <row r="1328" spans="1:16" ht="15.75" hidden="1" x14ac:dyDescent="0.25">
      <c r="A1328" s="48">
        <v>1327</v>
      </c>
      <c r="B1328" s="49" t="s">
        <v>2718</v>
      </c>
      <c r="C1328" s="49" t="s">
        <v>2719</v>
      </c>
      <c r="D1328" s="53" t="s">
        <v>47</v>
      </c>
      <c r="E1328" s="53" t="s">
        <v>51</v>
      </c>
      <c r="F1328" s="45">
        <f t="shared" ref="F1328:F1329" si="179">SUM($H1328:$P1328)</f>
        <v>30</v>
      </c>
      <c r="G1328" s="58">
        <f t="shared" si="174"/>
        <v>0.5</v>
      </c>
      <c r="P1328" s="3">
        <v>30</v>
      </c>
    </row>
    <row r="1329" spans="1:11" ht="15.75" hidden="1" x14ac:dyDescent="0.25">
      <c r="A1329" s="48">
        <v>1328</v>
      </c>
      <c r="B1329" s="49" t="s">
        <v>2720</v>
      </c>
      <c r="C1329" s="49" t="s">
        <v>2721</v>
      </c>
      <c r="D1329" s="53" t="s">
        <v>47</v>
      </c>
      <c r="E1329" s="53" t="s">
        <v>105</v>
      </c>
      <c r="F1329" s="45">
        <f t="shared" si="179"/>
        <v>0</v>
      </c>
      <c r="G1329" s="58">
        <f t="shared" si="174"/>
        <v>0</v>
      </c>
    </row>
    <row r="1330" spans="1:11" ht="15.75" hidden="1" x14ac:dyDescent="0.25">
      <c r="A1330" s="48">
        <v>1329</v>
      </c>
      <c r="B1330" s="49" t="s">
        <v>2722</v>
      </c>
      <c r="C1330" s="49" t="s">
        <v>2723</v>
      </c>
      <c r="D1330" s="53" t="s">
        <v>64</v>
      </c>
      <c r="E1330" s="53" t="s">
        <v>186</v>
      </c>
      <c r="F1330" s="45">
        <f t="shared" si="176"/>
        <v>0</v>
      </c>
      <c r="G1330" s="58">
        <f t="shared" si="174"/>
        <v>0</v>
      </c>
    </row>
    <row r="1331" spans="1:11" ht="15.75" hidden="1" x14ac:dyDescent="0.25">
      <c r="A1331" s="48">
        <v>1330</v>
      </c>
      <c r="B1331" s="49" t="s">
        <v>2724</v>
      </c>
      <c r="C1331" s="49" t="s">
        <v>2725</v>
      </c>
      <c r="D1331" s="53" t="s">
        <v>64</v>
      </c>
      <c r="E1331" s="53" t="s">
        <v>186</v>
      </c>
      <c r="F1331" s="45">
        <f t="shared" si="176"/>
        <v>0</v>
      </c>
      <c r="G1331" s="58">
        <f t="shared" si="174"/>
        <v>0</v>
      </c>
    </row>
    <row r="1332" spans="1:11" ht="15.75" hidden="1" x14ac:dyDescent="0.25">
      <c r="A1332" s="48">
        <v>1331</v>
      </c>
      <c r="B1332" s="49" t="s">
        <v>2726</v>
      </c>
      <c r="C1332" s="49" t="s">
        <v>2727</v>
      </c>
      <c r="D1332" s="53" t="s">
        <v>64</v>
      </c>
      <c r="E1332" s="53" t="s">
        <v>186</v>
      </c>
      <c r="F1332" s="45">
        <f t="shared" si="176"/>
        <v>0</v>
      </c>
      <c r="G1332" s="58">
        <f t="shared" si="174"/>
        <v>0</v>
      </c>
    </row>
    <row r="1333" spans="1:11" ht="15.75" hidden="1" x14ac:dyDescent="0.25">
      <c r="A1333" s="48">
        <v>1332</v>
      </c>
      <c r="B1333" s="49" t="s">
        <v>2728</v>
      </c>
      <c r="C1333" s="49" t="s">
        <v>2729</v>
      </c>
      <c r="D1333" s="53" t="s">
        <v>64</v>
      </c>
      <c r="E1333" s="53" t="s">
        <v>186</v>
      </c>
      <c r="F1333" s="45">
        <f t="shared" si="176"/>
        <v>0</v>
      </c>
      <c r="G1333" s="58">
        <f t="shared" si="174"/>
        <v>0</v>
      </c>
    </row>
    <row r="1334" spans="1:11" ht="15.75" hidden="1" x14ac:dyDescent="0.25">
      <c r="A1334" s="48">
        <v>1333</v>
      </c>
      <c r="B1334" s="49" t="s">
        <v>2730</v>
      </c>
      <c r="C1334" s="49" t="s">
        <v>2731</v>
      </c>
      <c r="D1334" s="53" t="s">
        <v>64</v>
      </c>
      <c r="E1334" s="53" t="s">
        <v>186</v>
      </c>
      <c r="F1334" s="45">
        <f t="shared" si="176"/>
        <v>0</v>
      </c>
      <c r="G1334" s="58">
        <f t="shared" si="174"/>
        <v>0</v>
      </c>
    </row>
    <row r="1335" spans="1:11" ht="15.75" hidden="1" x14ac:dyDescent="0.25">
      <c r="A1335" s="48">
        <v>1334</v>
      </c>
      <c r="B1335" s="49" t="s">
        <v>2732</v>
      </c>
      <c r="C1335" s="49" t="s">
        <v>2733</v>
      </c>
      <c r="D1335" s="53" t="s">
        <v>64</v>
      </c>
      <c r="E1335" s="53" t="s">
        <v>186</v>
      </c>
      <c r="F1335" s="45">
        <f t="shared" si="176"/>
        <v>0</v>
      </c>
      <c r="G1335" s="58">
        <f t="shared" si="174"/>
        <v>0</v>
      </c>
    </row>
    <row r="1336" spans="1:11" ht="15.75" hidden="1" x14ac:dyDescent="0.25">
      <c r="A1336" s="48">
        <v>1335</v>
      </c>
      <c r="B1336" s="49" t="s">
        <v>2734</v>
      </c>
      <c r="C1336" s="49" t="s">
        <v>2735</v>
      </c>
      <c r="D1336" s="53" t="s">
        <v>64</v>
      </c>
      <c r="E1336" s="53" t="s">
        <v>186</v>
      </c>
      <c r="F1336" s="45">
        <f t="shared" si="176"/>
        <v>0</v>
      </c>
      <c r="G1336" s="58">
        <f t="shared" si="174"/>
        <v>0</v>
      </c>
    </row>
    <row r="1337" spans="1:11" ht="15.75" hidden="1" x14ac:dyDescent="0.25">
      <c r="A1337" s="48">
        <v>1336</v>
      </c>
      <c r="B1337" s="49" t="s">
        <v>2736</v>
      </c>
      <c r="C1337" s="49" t="s">
        <v>2737</v>
      </c>
      <c r="D1337" s="53" t="s">
        <v>64</v>
      </c>
      <c r="E1337" s="53" t="s">
        <v>186</v>
      </c>
      <c r="F1337" s="45">
        <f t="shared" si="176"/>
        <v>0</v>
      </c>
      <c r="G1337" s="58">
        <f t="shared" ref="G1337:G1400" si="180">F1337/60</f>
        <v>0</v>
      </c>
    </row>
    <row r="1338" spans="1:11" ht="15.75" hidden="1" x14ac:dyDescent="0.25">
      <c r="A1338" s="48">
        <v>1337</v>
      </c>
      <c r="B1338" s="49" t="s">
        <v>2738</v>
      </c>
      <c r="C1338" s="49" t="s">
        <v>2739</v>
      </c>
      <c r="D1338" s="53" t="s">
        <v>64</v>
      </c>
      <c r="E1338" s="53" t="s">
        <v>186</v>
      </c>
      <c r="F1338" s="45">
        <f t="shared" si="176"/>
        <v>0</v>
      </c>
      <c r="G1338" s="58">
        <f t="shared" si="180"/>
        <v>0</v>
      </c>
    </row>
    <row r="1339" spans="1:11" ht="15.75" hidden="1" x14ac:dyDescent="0.25">
      <c r="A1339" s="48">
        <v>1338</v>
      </c>
      <c r="B1339" s="49" t="s">
        <v>2740</v>
      </c>
      <c r="C1339" s="49" t="s">
        <v>2741</v>
      </c>
      <c r="D1339" s="53" t="s">
        <v>64</v>
      </c>
      <c r="E1339" s="53" t="s">
        <v>186</v>
      </c>
      <c r="F1339" s="45">
        <f t="shared" si="176"/>
        <v>0</v>
      </c>
      <c r="G1339" s="58">
        <f t="shared" si="180"/>
        <v>0</v>
      </c>
    </row>
    <row r="1340" spans="1:11" ht="15.75" hidden="1" x14ac:dyDescent="0.25">
      <c r="A1340" s="48">
        <v>1339</v>
      </c>
      <c r="B1340" s="49" t="s">
        <v>2742</v>
      </c>
      <c r="C1340" s="49" t="s">
        <v>2743</v>
      </c>
      <c r="D1340" s="53" t="s">
        <v>64</v>
      </c>
      <c r="E1340" s="53" t="s">
        <v>186</v>
      </c>
      <c r="F1340" s="45">
        <f t="shared" si="176"/>
        <v>0</v>
      </c>
      <c r="G1340" s="58">
        <f t="shared" si="180"/>
        <v>0</v>
      </c>
    </row>
    <row r="1341" spans="1:11" ht="15.75" hidden="1" x14ac:dyDescent="0.25">
      <c r="A1341" s="48">
        <v>1340</v>
      </c>
      <c r="B1341" s="49" t="s">
        <v>2744</v>
      </c>
      <c r="C1341" s="49" t="s">
        <v>2745</v>
      </c>
      <c r="D1341" s="53" t="s">
        <v>47</v>
      </c>
      <c r="E1341" s="53" t="s">
        <v>116</v>
      </c>
      <c r="F1341" s="45">
        <f>SUM($H1341:$P1341)</f>
        <v>90</v>
      </c>
      <c r="G1341" s="58">
        <f t="shared" si="180"/>
        <v>1.5</v>
      </c>
      <c r="K1341" s="3">
        <v>90</v>
      </c>
    </row>
    <row r="1342" spans="1:11" ht="15.75" hidden="1" x14ac:dyDescent="0.25">
      <c r="A1342" s="48">
        <v>1341</v>
      </c>
      <c r="B1342" s="49" t="s">
        <v>2746</v>
      </c>
      <c r="C1342" s="49" t="s">
        <v>2747</v>
      </c>
      <c r="D1342" s="53" t="s">
        <v>64</v>
      </c>
      <c r="E1342" s="53" t="s">
        <v>186</v>
      </c>
      <c r="F1342" s="45">
        <f t="shared" si="176"/>
        <v>0</v>
      </c>
      <c r="G1342" s="58">
        <f t="shared" si="180"/>
        <v>0</v>
      </c>
    </row>
    <row r="1343" spans="1:11" ht="15.75" hidden="1" x14ac:dyDescent="0.25">
      <c r="A1343" s="48">
        <v>1342</v>
      </c>
      <c r="B1343" s="49" t="s">
        <v>2748</v>
      </c>
      <c r="C1343" s="49" t="s">
        <v>2749</v>
      </c>
      <c r="D1343" s="53" t="s">
        <v>47</v>
      </c>
      <c r="E1343" s="53" t="s">
        <v>105</v>
      </c>
      <c r="F1343" s="45">
        <f t="shared" ref="F1343:F1346" si="181">SUM($H1343:$P1343)</f>
        <v>0</v>
      </c>
      <c r="G1343" s="58">
        <f t="shared" si="180"/>
        <v>0</v>
      </c>
    </row>
    <row r="1344" spans="1:11" ht="15.75" hidden="1" x14ac:dyDescent="0.25">
      <c r="A1344" s="48">
        <v>1343</v>
      </c>
      <c r="B1344" s="49" t="s">
        <v>2750</v>
      </c>
      <c r="C1344" s="49" t="s">
        <v>2751</v>
      </c>
      <c r="D1344" s="53" t="s">
        <v>47</v>
      </c>
      <c r="E1344" s="53" t="s">
        <v>105</v>
      </c>
      <c r="F1344" s="45">
        <f t="shared" si="181"/>
        <v>0</v>
      </c>
      <c r="G1344" s="58">
        <f t="shared" si="180"/>
        <v>0</v>
      </c>
    </row>
    <row r="1345" spans="1:9" ht="15.75" hidden="1" x14ac:dyDescent="0.25">
      <c r="A1345" s="48">
        <v>1344</v>
      </c>
      <c r="B1345" s="49" t="s">
        <v>2752</v>
      </c>
      <c r="C1345" s="49" t="s">
        <v>2753</v>
      </c>
      <c r="D1345" s="53" t="s">
        <v>47</v>
      </c>
      <c r="E1345" s="53" t="s">
        <v>105</v>
      </c>
      <c r="F1345" s="45">
        <f t="shared" si="181"/>
        <v>0</v>
      </c>
      <c r="G1345" s="58">
        <f t="shared" si="180"/>
        <v>0</v>
      </c>
    </row>
    <row r="1346" spans="1:9" ht="15.75" hidden="1" x14ac:dyDescent="0.25">
      <c r="A1346" s="48">
        <v>1345</v>
      </c>
      <c r="B1346" s="49" t="s">
        <v>2754</v>
      </c>
      <c r="C1346" s="49" t="s">
        <v>2755</v>
      </c>
      <c r="D1346" s="53" t="s">
        <v>47</v>
      </c>
      <c r="E1346" s="53" t="s">
        <v>105</v>
      </c>
      <c r="F1346" s="45">
        <f t="shared" si="181"/>
        <v>0</v>
      </c>
      <c r="G1346" s="58">
        <f t="shared" si="180"/>
        <v>0</v>
      </c>
    </row>
    <row r="1347" spans="1:9" ht="15.75" hidden="1" x14ac:dyDescent="0.25">
      <c r="A1347" s="48">
        <v>1346</v>
      </c>
      <c r="B1347" s="49" t="s">
        <v>2756</v>
      </c>
      <c r="C1347" s="49" t="s">
        <v>2757</v>
      </c>
      <c r="D1347" s="53" t="s">
        <v>64</v>
      </c>
      <c r="E1347" s="53" t="s">
        <v>186</v>
      </c>
      <c r="F1347" s="45">
        <f t="shared" ref="F1347:F1410" si="182">SUM($H1347:$K1347)</f>
        <v>0</v>
      </c>
      <c r="G1347" s="58">
        <f t="shared" si="180"/>
        <v>0</v>
      </c>
    </row>
    <row r="1348" spans="1:9" ht="15.75" hidden="1" x14ac:dyDescent="0.25">
      <c r="A1348" s="48">
        <v>1347</v>
      </c>
      <c r="B1348" s="49" t="s">
        <v>2758</v>
      </c>
      <c r="C1348" s="49" t="s">
        <v>2759</v>
      </c>
      <c r="D1348" s="53" t="s">
        <v>64</v>
      </c>
      <c r="E1348" s="53" t="s">
        <v>186</v>
      </c>
      <c r="F1348" s="45">
        <f t="shared" si="182"/>
        <v>0</v>
      </c>
      <c r="G1348" s="58">
        <f t="shared" si="180"/>
        <v>0</v>
      </c>
    </row>
    <row r="1349" spans="1:9" ht="15.75" hidden="1" x14ac:dyDescent="0.25">
      <c r="A1349" s="48">
        <v>1348</v>
      </c>
      <c r="B1349" s="49" t="s">
        <v>2760</v>
      </c>
      <c r="C1349" s="49" t="s">
        <v>2761</v>
      </c>
      <c r="D1349" s="53" t="s">
        <v>64</v>
      </c>
      <c r="E1349" s="53" t="s">
        <v>186</v>
      </c>
      <c r="F1349" s="45">
        <f t="shared" si="182"/>
        <v>0</v>
      </c>
      <c r="G1349" s="58">
        <f t="shared" si="180"/>
        <v>0</v>
      </c>
    </row>
    <row r="1350" spans="1:9" ht="15.75" hidden="1" x14ac:dyDescent="0.25">
      <c r="A1350" s="48">
        <v>1349</v>
      </c>
      <c r="B1350" s="49" t="s">
        <v>2762</v>
      </c>
      <c r="C1350" s="49" t="s">
        <v>2763</v>
      </c>
      <c r="D1350" s="53" t="s">
        <v>47</v>
      </c>
      <c r="E1350" s="53" t="s">
        <v>105</v>
      </c>
      <c r="F1350" s="45">
        <f t="shared" ref="F1350:F1352" si="183">SUM($H1350:$P1350)</f>
        <v>0</v>
      </c>
      <c r="G1350" s="58">
        <f t="shared" si="180"/>
        <v>0</v>
      </c>
    </row>
    <row r="1351" spans="1:9" ht="15.75" hidden="1" x14ac:dyDescent="0.25">
      <c r="A1351" s="48">
        <v>1350</v>
      </c>
      <c r="B1351" s="49" t="s">
        <v>2764</v>
      </c>
      <c r="C1351" s="49" t="s">
        <v>2765</v>
      </c>
      <c r="D1351" s="53" t="s">
        <v>47</v>
      </c>
      <c r="E1351" s="53" t="s">
        <v>105</v>
      </c>
      <c r="F1351" s="45">
        <f t="shared" si="183"/>
        <v>0</v>
      </c>
      <c r="G1351" s="58">
        <f t="shared" si="180"/>
        <v>0</v>
      </c>
    </row>
    <row r="1352" spans="1:9" ht="15.75" hidden="1" x14ac:dyDescent="0.25">
      <c r="A1352" s="48">
        <v>1351</v>
      </c>
      <c r="B1352" s="49" t="s">
        <v>2766</v>
      </c>
      <c r="C1352" s="49" t="s">
        <v>2767</v>
      </c>
      <c r="D1352" s="53" t="s">
        <v>47</v>
      </c>
      <c r="E1352" s="53" t="s">
        <v>105</v>
      </c>
      <c r="F1352" s="45">
        <f t="shared" si="183"/>
        <v>0</v>
      </c>
      <c r="G1352" s="58">
        <f t="shared" si="180"/>
        <v>0</v>
      </c>
    </row>
    <row r="1353" spans="1:9" ht="15.75" hidden="1" x14ac:dyDescent="0.25">
      <c r="A1353" s="48">
        <v>1352</v>
      </c>
      <c r="B1353" s="49" t="s">
        <v>2768</v>
      </c>
      <c r="C1353" s="49" t="s">
        <v>2769</v>
      </c>
      <c r="D1353" s="53" t="s">
        <v>64</v>
      </c>
      <c r="E1353" s="53" t="s">
        <v>65</v>
      </c>
      <c r="F1353" s="45">
        <f t="shared" si="182"/>
        <v>0</v>
      </c>
      <c r="G1353" s="58">
        <f t="shared" si="180"/>
        <v>0</v>
      </c>
    </row>
    <row r="1354" spans="1:9" ht="15.75" hidden="1" x14ac:dyDescent="0.25">
      <c r="A1354" s="48">
        <v>1353</v>
      </c>
      <c r="B1354" s="49" t="s">
        <v>2770</v>
      </c>
      <c r="C1354" s="49" t="s">
        <v>2771</v>
      </c>
      <c r="D1354" s="53" t="s">
        <v>47</v>
      </c>
      <c r="E1354" s="53" t="s">
        <v>105</v>
      </c>
      <c r="F1354" s="45">
        <f t="shared" ref="F1354:F1355" si="184">SUM($H1354:$P1354)</f>
        <v>0</v>
      </c>
      <c r="G1354" s="58">
        <f t="shared" si="180"/>
        <v>0</v>
      </c>
    </row>
    <row r="1355" spans="1:9" ht="15.75" hidden="1" x14ac:dyDescent="0.25">
      <c r="A1355" s="48">
        <v>1354</v>
      </c>
      <c r="B1355" s="49" t="s">
        <v>2772</v>
      </c>
      <c r="C1355" s="49" t="s">
        <v>2773</v>
      </c>
      <c r="D1355" s="53" t="s">
        <v>47</v>
      </c>
      <c r="E1355" s="53" t="s">
        <v>79</v>
      </c>
      <c r="F1355" s="45">
        <f t="shared" si="184"/>
        <v>0</v>
      </c>
      <c r="G1355" s="58">
        <f t="shared" si="180"/>
        <v>0</v>
      </c>
    </row>
    <row r="1356" spans="1:9" ht="15.75" hidden="1" x14ac:dyDescent="0.25">
      <c r="A1356" s="48">
        <v>1355</v>
      </c>
      <c r="B1356" s="49" t="s">
        <v>2774</v>
      </c>
      <c r="C1356" s="49" t="s">
        <v>2775</v>
      </c>
      <c r="D1356" s="53" t="s">
        <v>64</v>
      </c>
      <c r="E1356" s="53" t="s">
        <v>186</v>
      </c>
      <c r="F1356" s="45">
        <f t="shared" si="182"/>
        <v>82</v>
      </c>
      <c r="G1356" s="58">
        <f t="shared" si="180"/>
        <v>1.3666666666666667</v>
      </c>
      <c r="I1356" s="3">
        <v>82</v>
      </c>
    </row>
    <row r="1357" spans="1:9" ht="15.75" hidden="1" x14ac:dyDescent="0.25">
      <c r="A1357" s="48">
        <v>1356</v>
      </c>
      <c r="B1357" s="49" t="s">
        <v>2776</v>
      </c>
      <c r="C1357" s="49" t="s">
        <v>2777</v>
      </c>
      <c r="D1357" s="53" t="s">
        <v>64</v>
      </c>
      <c r="E1357" s="53" t="s">
        <v>186</v>
      </c>
      <c r="F1357" s="45">
        <f t="shared" si="182"/>
        <v>0</v>
      </c>
      <c r="G1357" s="58">
        <f t="shared" si="180"/>
        <v>0</v>
      </c>
    </row>
    <row r="1358" spans="1:9" ht="15.75" hidden="1" x14ac:dyDescent="0.25">
      <c r="A1358" s="48">
        <v>1357</v>
      </c>
      <c r="B1358" s="49" t="s">
        <v>2778</v>
      </c>
      <c r="C1358" t="s">
        <v>2779</v>
      </c>
      <c r="D1358" s="53" t="s">
        <v>64</v>
      </c>
      <c r="E1358" s="53" t="s">
        <v>186</v>
      </c>
      <c r="F1358" s="45">
        <f t="shared" si="182"/>
        <v>0</v>
      </c>
      <c r="G1358" s="58">
        <f t="shared" si="180"/>
        <v>0</v>
      </c>
    </row>
    <row r="1359" spans="1:9" ht="15.75" hidden="1" x14ac:dyDescent="0.25">
      <c r="A1359" s="48">
        <v>1358</v>
      </c>
      <c r="B1359" s="49" t="s">
        <v>2780</v>
      </c>
      <c r="C1359" s="49" t="s">
        <v>2781</v>
      </c>
      <c r="D1359" s="53" t="s">
        <v>47</v>
      </c>
      <c r="E1359" s="53" t="s">
        <v>48</v>
      </c>
      <c r="F1359" s="45">
        <f t="shared" ref="F1359:F1361" si="185">SUM($H1359:$P1359)</f>
        <v>0</v>
      </c>
      <c r="G1359" s="58">
        <f t="shared" si="180"/>
        <v>0</v>
      </c>
    </row>
    <row r="1360" spans="1:9" ht="15.75" hidden="1" x14ac:dyDescent="0.25">
      <c r="A1360" s="48">
        <v>1359</v>
      </c>
      <c r="B1360" s="49" t="s">
        <v>2782</v>
      </c>
      <c r="C1360" s="49" t="s">
        <v>2783</v>
      </c>
      <c r="D1360" s="53" t="s">
        <v>47</v>
      </c>
      <c r="E1360" s="53" t="s">
        <v>51</v>
      </c>
      <c r="F1360" s="45">
        <f t="shared" si="185"/>
        <v>0</v>
      </c>
      <c r="G1360" s="58">
        <f t="shared" si="180"/>
        <v>0</v>
      </c>
    </row>
    <row r="1361" spans="1:7" ht="15.75" hidden="1" x14ac:dyDescent="0.25">
      <c r="A1361" s="48">
        <v>1360</v>
      </c>
      <c r="B1361" s="49" t="s">
        <v>2784</v>
      </c>
      <c r="C1361" s="49" t="s">
        <v>2785</v>
      </c>
      <c r="D1361" s="53" t="s">
        <v>47</v>
      </c>
      <c r="E1361" s="53" t="s">
        <v>51</v>
      </c>
      <c r="F1361" s="45">
        <f t="shared" si="185"/>
        <v>0</v>
      </c>
      <c r="G1361" s="58">
        <f t="shared" si="180"/>
        <v>0</v>
      </c>
    </row>
    <row r="1362" spans="1:7" ht="15.75" hidden="1" x14ac:dyDescent="0.25">
      <c r="A1362" s="48">
        <v>1361</v>
      </c>
      <c r="B1362" s="49" t="s">
        <v>2786</v>
      </c>
      <c r="C1362" s="49" t="s">
        <v>2787</v>
      </c>
      <c r="D1362" s="53" t="s">
        <v>64</v>
      </c>
      <c r="E1362" s="53" t="s">
        <v>186</v>
      </c>
      <c r="F1362" s="45">
        <f t="shared" si="182"/>
        <v>0</v>
      </c>
      <c r="G1362" s="58">
        <f t="shared" si="180"/>
        <v>0</v>
      </c>
    </row>
    <row r="1363" spans="1:7" ht="15.75" hidden="1" x14ac:dyDescent="0.25">
      <c r="A1363" s="48">
        <v>1362</v>
      </c>
      <c r="B1363" s="49" t="s">
        <v>2788</v>
      </c>
      <c r="C1363" s="49" t="s">
        <v>2789</v>
      </c>
      <c r="D1363" s="53" t="s">
        <v>64</v>
      </c>
      <c r="E1363" s="53" t="s">
        <v>186</v>
      </c>
      <c r="F1363" s="45">
        <f t="shared" si="182"/>
        <v>0</v>
      </c>
      <c r="G1363" s="58">
        <f t="shared" si="180"/>
        <v>0</v>
      </c>
    </row>
    <row r="1364" spans="1:7" ht="15.75" hidden="1" x14ac:dyDescent="0.25">
      <c r="A1364" s="48">
        <v>1363</v>
      </c>
      <c r="B1364" s="49" t="s">
        <v>2790</v>
      </c>
      <c r="C1364" s="49" t="s">
        <v>2791</v>
      </c>
      <c r="D1364" s="53" t="s">
        <v>64</v>
      </c>
      <c r="E1364" s="53" t="s">
        <v>186</v>
      </c>
      <c r="F1364" s="45">
        <f t="shared" si="182"/>
        <v>0</v>
      </c>
      <c r="G1364" s="58">
        <f t="shared" si="180"/>
        <v>0</v>
      </c>
    </row>
    <row r="1365" spans="1:7" ht="15.75" hidden="1" x14ac:dyDescent="0.25">
      <c r="A1365" s="48">
        <v>1364</v>
      </c>
      <c r="B1365" s="49" t="s">
        <v>2792</v>
      </c>
      <c r="C1365" s="49" t="s">
        <v>2793</v>
      </c>
      <c r="D1365" s="53" t="s">
        <v>47</v>
      </c>
      <c r="E1365" s="53" t="s">
        <v>105</v>
      </c>
      <c r="F1365" s="45">
        <f>SUM($H1365:$P1365)</f>
        <v>0</v>
      </c>
      <c r="G1365" s="58">
        <f t="shared" si="180"/>
        <v>0</v>
      </c>
    </row>
    <row r="1366" spans="1:7" ht="15.75" hidden="1" x14ac:dyDescent="0.25">
      <c r="A1366" s="48">
        <v>1365</v>
      </c>
      <c r="B1366" s="49" t="s">
        <v>2794</v>
      </c>
      <c r="C1366" s="49" t="s">
        <v>2795</v>
      </c>
      <c r="D1366" s="53" t="s">
        <v>64</v>
      </c>
      <c r="E1366" s="53" t="s">
        <v>65</v>
      </c>
      <c r="F1366" s="45">
        <f t="shared" si="182"/>
        <v>0</v>
      </c>
      <c r="G1366" s="58">
        <f t="shared" si="180"/>
        <v>0</v>
      </c>
    </row>
    <row r="1367" spans="1:7" ht="15.75" hidden="1" x14ac:dyDescent="0.25">
      <c r="A1367" s="48">
        <v>1366</v>
      </c>
      <c r="B1367" s="49" t="s">
        <v>2796</v>
      </c>
      <c r="C1367" s="49" t="s">
        <v>2797</v>
      </c>
      <c r="D1367" s="53" t="s">
        <v>47</v>
      </c>
      <c r="E1367" s="53" t="s">
        <v>48</v>
      </c>
      <c r="F1367" s="45">
        <f t="shared" ref="F1367:F1371" si="186">SUM($H1367:$P1367)</f>
        <v>0</v>
      </c>
      <c r="G1367" s="58">
        <f t="shared" si="180"/>
        <v>0</v>
      </c>
    </row>
    <row r="1368" spans="1:7" ht="15.75" hidden="1" x14ac:dyDescent="0.25">
      <c r="A1368" s="48">
        <v>1367</v>
      </c>
      <c r="B1368" s="49" t="s">
        <v>2798</v>
      </c>
      <c r="C1368" s="49" t="s">
        <v>2799</v>
      </c>
      <c r="D1368" s="53" t="s">
        <v>47</v>
      </c>
      <c r="E1368" s="53" t="s">
        <v>48</v>
      </c>
      <c r="F1368" s="45">
        <f t="shared" si="186"/>
        <v>0</v>
      </c>
      <c r="G1368" s="58">
        <f t="shared" si="180"/>
        <v>0</v>
      </c>
    </row>
    <row r="1369" spans="1:7" ht="15.75" hidden="1" x14ac:dyDescent="0.25">
      <c r="A1369" s="48">
        <v>1368</v>
      </c>
      <c r="B1369" s="49" t="s">
        <v>2800</v>
      </c>
      <c r="C1369" s="49" t="s">
        <v>2801</v>
      </c>
      <c r="D1369" s="53" t="s">
        <v>47</v>
      </c>
      <c r="E1369" s="53" t="s">
        <v>105</v>
      </c>
      <c r="F1369" s="45">
        <f t="shared" si="186"/>
        <v>0</v>
      </c>
      <c r="G1369" s="58">
        <f t="shared" si="180"/>
        <v>0</v>
      </c>
    </row>
    <row r="1370" spans="1:7" ht="15.75" hidden="1" x14ac:dyDescent="0.25">
      <c r="A1370" s="48">
        <v>1369</v>
      </c>
      <c r="B1370" s="49" t="s">
        <v>2802</v>
      </c>
      <c r="C1370" s="49" t="s">
        <v>2803</v>
      </c>
      <c r="D1370" s="53" t="s">
        <v>47</v>
      </c>
      <c r="E1370" s="53" t="s">
        <v>116</v>
      </c>
      <c r="F1370" s="45">
        <f t="shared" si="186"/>
        <v>0</v>
      </c>
      <c r="G1370" s="58">
        <f t="shared" si="180"/>
        <v>0</v>
      </c>
    </row>
    <row r="1371" spans="1:7" ht="15.75" hidden="1" x14ac:dyDescent="0.25">
      <c r="A1371" s="48">
        <v>1370</v>
      </c>
      <c r="B1371" s="49" t="s">
        <v>2804</v>
      </c>
      <c r="C1371" s="49" t="s">
        <v>2805</v>
      </c>
      <c r="D1371" s="53" t="s">
        <v>47</v>
      </c>
      <c r="E1371" s="53" t="s">
        <v>105</v>
      </c>
      <c r="F1371" s="45">
        <f t="shared" si="186"/>
        <v>0</v>
      </c>
      <c r="G1371" s="58">
        <f t="shared" si="180"/>
        <v>0</v>
      </c>
    </row>
    <row r="1372" spans="1:7" ht="15.75" hidden="1" x14ac:dyDescent="0.25">
      <c r="A1372" s="48">
        <v>1371</v>
      </c>
      <c r="B1372" s="49" t="s">
        <v>2806</v>
      </c>
      <c r="C1372" s="49" t="s">
        <v>2807</v>
      </c>
      <c r="D1372" s="53" t="s">
        <v>64</v>
      </c>
      <c r="E1372" s="53" t="s">
        <v>65</v>
      </c>
      <c r="F1372" s="45">
        <f t="shared" si="182"/>
        <v>0</v>
      </c>
      <c r="G1372" s="58">
        <f t="shared" si="180"/>
        <v>0</v>
      </c>
    </row>
    <row r="1373" spans="1:7" ht="15.75" hidden="1" x14ac:dyDescent="0.25">
      <c r="A1373" s="48">
        <v>1372</v>
      </c>
      <c r="B1373" s="49" t="s">
        <v>2808</v>
      </c>
      <c r="C1373" s="49" t="s">
        <v>2809</v>
      </c>
      <c r="D1373" s="53" t="s">
        <v>47</v>
      </c>
      <c r="E1373" s="53" t="s">
        <v>105</v>
      </c>
      <c r="F1373" s="45">
        <f t="shared" ref="F1373:F1379" si="187">SUM($H1373:$P1373)</f>
        <v>0</v>
      </c>
      <c r="G1373" s="58">
        <f t="shared" si="180"/>
        <v>0</v>
      </c>
    </row>
    <row r="1374" spans="1:7" ht="15.75" hidden="1" x14ac:dyDescent="0.25">
      <c r="A1374" s="48">
        <v>1373</v>
      </c>
      <c r="B1374" s="49" t="s">
        <v>2810</v>
      </c>
      <c r="C1374" s="49" t="s">
        <v>2811</v>
      </c>
      <c r="D1374" s="53" t="s">
        <v>47</v>
      </c>
      <c r="E1374" s="53" t="s">
        <v>48</v>
      </c>
      <c r="F1374" s="45">
        <f t="shared" si="187"/>
        <v>0</v>
      </c>
      <c r="G1374" s="58">
        <f t="shared" si="180"/>
        <v>0</v>
      </c>
    </row>
    <row r="1375" spans="1:7" ht="15.75" hidden="1" x14ac:dyDescent="0.25">
      <c r="A1375" s="48">
        <v>1374</v>
      </c>
      <c r="B1375" s="49" t="s">
        <v>2812</v>
      </c>
      <c r="C1375" s="49" t="s">
        <v>2813</v>
      </c>
      <c r="D1375" s="53" t="s">
        <v>47</v>
      </c>
      <c r="E1375" s="53" t="s">
        <v>48</v>
      </c>
      <c r="F1375" s="45">
        <f t="shared" si="187"/>
        <v>0</v>
      </c>
      <c r="G1375" s="58">
        <f t="shared" si="180"/>
        <v>0</v>
      </c>
    </row>
    <row r="1376" spans="1:7" ht="15.75" hidden="1" x14ac:dyDescent="0.25">
      <c r="A1376" s="48">
        <v>1375</v>
      </c>
      <c r="B1376" s="49" t="s">
        <v>2814</v>
      </c>
      <c r="C1376" s="49" t="s">
        <v>2815</v>
      </c>
      <c r="D1376" s="53" t="s">
        <v>47</v>
      </c>
      <c r="E1376" s="53" t="s">
        <v>48</v>
      </c>
      <c r="F1376" s="45">
        <f t="shared" si="187"/>
        <v>0</v>
      </c>
      <c r="G1376" s="58">
        <f t="shared" si="180"/>
        <v>0</v>
      </c>
    </row>
    <row r="1377" spans="1:11" ht="15.75" hidden="1" x14ac:dyDescent="0.25">
      <c r="A1377" s="48">
        <v>1376</v>
      </c>
      <c r="B1377" s="49" t="s">
        <v>2816</v>
      </c>
      <c r="C1377" s="49" t="s">
        <v>2817</v>
      </c>
      <c r="D1377" s="53" t="s">
        <v>47</v>
      </c>
      <c r="E1377" s="53" t="s">
        <v>56</v>
      </c>
      <c r="F1377" s="45">
        <f t="shared" si="187"/>
        <v>0</v>
      </c>
      <c r="G1377" s="58">
        <f t="shared" si="180"/>
        <v>0</v>
      </c>
    </row>
    <row r="1378" spans="1:11" ht="15.75" hidden="1" x14ac:dyDescent="0.25">
      <c r="A1378" s="48">
        <v>1377</v>
      </c>
      <c r="B1378" s="49" t="s">
        <v>2818</v>
      </c>
      <c r="C1378" s="49" t="s">
        <v>2819</v>
      </c>
      <c r="D1378" s="53" t="s">
        <v>47</v>
      </c>
      <c r="E1378" s="53" t="s">
        <v>56</v>
      </c>
      <c r="F1378" s="45">
        <f t="shared" si="187"/>
        <v>0</v>
      </c>
      <c r="G1378" s="58">
        <f t="shared" si="180"/>
        <v>0</v>
      </c>
    </row>
    <row r="1379" spans="1:11" ht="15.75" hidden="1" x14ac:dyDescent="0.25">
      <c r="A1379" s="48">
        <v>1378</v>
      </c>
      <c r="B1379" s="49" t="s">
        <v>2820</v>
      </c>
      <c r="C1379" s="49" t="s">
        <v>2821</v>
      </c>
      <c r="D1379" s="53" t="s">
        <v>47</v>
      </c>
      <c r="E1379" s="53" t="s">
        <v>48</v>
      </c>
      <c r="F1379" s="45">
        <f t="shared" si="187"/>
        <v>0</v>
      </c>
      <c r="G1379" s="58">
        <f t="shared" si="180"/>
        <v>0</v>
      </c>
    </row>
    <row r="1380" spans="1:11" ht="15.75" hidden="1" x14ac:dyDescent="0.25">
      <c r="A1380" s="48">
        <v>1379</v>
      </c>
      <c r="B1380" s="49" t="s">
        <v>2822</v>
      </c>
      <c r="C1380" s="49" t="s">
        <v>2823</v>
      </c>
      <c r="D1380" s="53" t="s">
        <v>82</v>
      </c>
      <c r="E1380" s="53" t="s">
        <v>140</v>
      </c>
      <c r="F1380" s="45">
        <f t="shared" si="182"/>
        <v>0</v>
      </c>
      <c r="G1380" s="58">
        <f t="shared" si="180"/>
        <v>0</v>
      </c>
    </row>
    <row r="1381" spans="1:11" ht="15.75" hidden="1" x14ac:dyDescent="0.25">
      <c r="A1381" s="48">
        <v>1380</v>
      </c>
      <c r="B1381" s="49" t="s">
        <v>2824</v>
      </c>
      <c r="C1381" s="49" t="s">
        <v>2825</v>
      </c>
      <c r="D1381" s="53" t="s">
        <v>47</v>
      </c>
      <c r="E1381" s="53" t="s">
        <v>56</v>
      </c>
      <c r="F1381" s="45">
        <f t="shared" ref="F1381:F1387" si="188">SUM($H1381:$P1381)</f>
        <v>0</v>
      </c>
      <c r="G1381" s="58">
        <f t="shared" si="180"/>
        <v>0</v>
      </c>
    </row>
    <row r="1382" spans="1:11" ht="15.75" hidden="1" x14ac:dyDescent="0.25">
      <c r="A1382" s="48">
        <v>1381</v>
      </c>
      <c r="B1382" s="49" t="s">
        <v>2826</v>
      </c>
      <c r="C1382" s="49" t="s">
        <v>2827</v>
      </c>
      <c r="D1382" s="53" t="s">
        <v>47</v>
      </c>
      <c r="E1382" s="53" t="s">
        <v>48</v>
      </c>
      <c r="F1382" s="45">
        <f t="shared" si="188"/>
        <v>90</v>
      </c>
      <c r="G1382" s="58">
        <f t="shared" si="180"/>
        <v>1.5</v>
      </c>
      <c r="H1382" s="3">
        <v>90</v>
      </c>
    </row>
    <row r="1383" spans="1:11" ht="15.75" hidden="1" x14ac:dyDescent="0.25">
      <c r="A1383" s="48">
        <v>1382</v>
      </c>
      <c r="B1383" s="49" t="s">
        <v>2828</v>
      </c>
      <c r="C1383" s="49" t="s">
        <v>2829</v>
      </c>
      <c r="D1383" s="53" t="s">
        <v>47</v>
      </c>
      <c r="E1383" s="53" t="s">
        <v>48</v>
      </c>
      <c r="F1383" s="45">
        <f t="shared" si="188"/>
        <v>0</v>
      </c>
      <c r="G1383" s="58">
        <f t="shared" si="180"/>
        <v>0</v>
      </c>
    </row>
    <row r="1384" spans="1:11" ht="15.75" hidden="1" x14ac:dyDescent="0.25">
      <c r="A1384" s="48">
        <v>1383</v>
      </c>
      <c r="B1384" s="49" t="s">
        <v>2830</v>
      </c>
      <c r="C1384" s="49" t="s">
        <v>2831</v>
      </c>
      <c r="D1384" s="53" t="s">
        <v>47</v>
      </c>
      <c r="E1384" s="53" t="s">
        <v>56</v>
      </c>
      <c r="F1384" s="45">
        <f t="shared" si="188"/>
        <v>0</v>
      </c>
      <c r="G1384" s="58">
        <f t="shared" si="180"/>
        <v>0</v>
      </c>
    </row>
    <row r="1385" spans="1:11" ht="15.75" hidden="1" x14ac:dyDescent="0.25">
      <c r="A1385" s="48">
        <v>1384</v>
      </c>
      <c r="B1385" s="49" t="s">
        <v>2832</v>
      </c>
      <c r="C1385" s="49" t="s">
        <v>2833</v>
      </c>
      <c r="D1385" s="53" t="s">
        <v>47</v>
      </c>
      <c r="E1385" s="53" t="s">
        <v>56</v>
      </c>
      <c r="F1385" s="45">
        <f t="shared" si="188"/>
        <v>0</v>
      </c>
      <c r="G1385" s="58">
        <f t="shared" si="180"/>
        <v>0</v>
      </c>
    </row>
    <row r="1386" spans="1:11" ht="15.75" hidden="1" x14ac:dyDescent="0.25">
      <c r="A1386" s="48">
        <v>1385</v>
      </c>
      <c r="B1386" s="49" t="s">
        <v>2834</v>
      </c>
      <c r="C1386" s="49" t="s">
        <v>2835</v>
      </c>
      <c r="D1386" s="53" t="s">
        <v>47</v>
      </c>
      <c r="E1386" s="53" t="s">
        <v>48</v>
      </c>
      <c r="F1386" s="45">
        <f t="shared" si="188"/>
        <v>0</v>
      </c>
      <c r="G1386" s="58">
        <f t="shared" si="180"/>
        <v>0</v>
      </c>
    </row>
    <row r="1387" spans="1:11" ht="15.75" hidden="1" x14ac:dyDescent="0.25">
      <c r="A1387" s="48">
        <v>1386</v>
      </c>
      <c r="B1387" s="49" t="s">
        <v>2836</v>
      </c>
      <c r="C1387" s="49" t="s">
        <v>2837</v>
      </c>
      <c r="D1387" s="53" t="s">
        <v>47</v>
      </c>
      <c r="E1387" s="53" t="s">
        <v>48</v>
      </c>
      <c r="F1387" s="45">
        <f t="shared" si="188"/>
        <v>0</v>
      </c>
      <c r="G1387" s="58">
        <f t="shared" si="180"/>
        <v>0</v>
      </c>
    </row>
    <row r="1388" spans="1:11" ht="15.75" hidden="1" x14ac:dyDescent="0.25">
      <c r="A1388" s="48">
        <v>1387</v>
      </c>
      <c r="B1388" s="49" t="s">
        <v>2838</v>
      </c>
      <c r="C1388" s="49" t="s">
        <v>2839</v>
      </c>
      <c r="D1388" s="53" t="s">
        <v>82</v>
      </c>
      <c r="E1388" s="53" t="s">
        <v>83</v>
      </c>
      <c r="F1388" s="45">
        <f t="shared" si="182"/>
        <v>90</v>
      </c>
      <c r="G1388" s="58">
        <f t="shared" si="180"/>
        <v>1.5</v>
      </c>
      <c r="K1388" s="3">
        <v>90</v>
      </c>
    </row>
    <row r="1389" spans="1:11" ht="15.75" hidden="1" x14ac:dyDescent="0.25">
      <c r="A1389" s="48">
        <v>1388</v>
      </c>
      <c r="B1389" s="49" t="s">
        <v>2840</v>
      </c>
      <c r="C1389" s="49" t="s">
        <v>2841</v>
      </c>
      <c r="D1389" s="53" t="s">
        <v>47</v>
      </c>
      <c r="E1389" s="53" t="s">
        <v>56</v>
      </c>
      <c r="F1389" s="45">
        <f t="shared" ref="F1389:F1390" si="189">SUM($H1389:$P1389)</f>
        <v>0</v>
      </c>
      <c r="G1389" s="58">
        <f t="shared" si="180"/>
        <v>0</v>
      </c>
    </row>
    <row r="1390" spans="1:11" ht="15.75" hidden="1" x14ac:dyDescent="0.25">
      <c r="A1390" s="48">
        <v>1389</v>
      </c>
      <c r="B1390" s="49" t="s">
        <v>2842</v>
      </c>
      <c r="C1390" s="49" t="s">
        <v>2843</v>
      </c>
      <c r="D1390" s="53" t="s">
        <v>47</v>
      </c>
      <c r="E1390" s="53" t="s">
        <v>105</v>
      </c>
      <c r="F1390" s="45">
        <f t="shared" si="189"/>
        <v>0</v>
      </c>
      <c r="G1390" s="58">
        <f t="shared" si="180"/>
        <v>0</v>
      </c>
    </row>
    <row r="1391" spans="1:11" ht="15.75" hidden="1" x14ac:dyDescent="0.25">
      <c r="A1391" s="48">
        <v>1390</v>
      </c>
      <c r="B1391" s="49" t="s">
        <v>2844</v>
      </c>
      <c r="C1391" s="49" t="s">
        <v>2845</v>
      </c>
      <c r="D1391" s="53" t="s">
        <v>64</v>
      </c>
      <c r="E1391" s="53" t="s">
        <v>186</v>
      </c>
      <c r="F1391" s="45">
        <f t="shared" si="182"/>
        <v>0</v>
      </c>
      <c r="G1391" s="58">
        <f t="shared" si="180"/>
        <v>0</v>
      </c>
    </row>
    <row r="1392" spans="1:11" ht="15.75" hidden="1" x14ac:dyDescent="0.25">
      <c r="A1392" s="48">
        <v>1391</v>
      </c>
      <c r="B1392" s="49" t="s">
        <v>2846</v>
      </c>
      <c r="C1392" s="49" t="s">
        <v>2847</v>
      </c>
      <c r="D1392" s="53" t="s">
        <v>64</v>
      </c>
      <c r="E1392" s="53" t="s">
        <v>186</v>
      </c>
      <c r="F1392" s="45">
        <f t="shared" si="182"/>
        <v>0</v>
      </c>
      <c r="G1392" s="58">
        <f t="shared" si="180"/>
        <v>0</v>
      </c>
    </row>
    <row r="1393" spans="1:9" ht="15.75" hidden="1" x14ac:dyDescent="0.25">
      <c r="A1393" s="48">
        <v>1392</v>
      </c>
      <c r="B1393" s="49" t="s">
        <v>2848</v>
      </c>
      <c r="C1393" s="49" t="s">
        <v>2849</v>
      </c>
      <c r="D1393" s="53" t="s">
        <v>47</v>
      </c>
      <c r="E1393" s="53" t="s">
        <v>86</v>
      </c>
      <c r="F1393" s="45">
        <f t="shared" ref="F1393:F1399" si="190">SUM($H1393:$P1393)</f>
        <v>0</v>
      </c>
      <c r="G1393" s="58">
        <f t="shared" si="180"/>
        <v>0</v>
      </c>
    </row>
    <row r="1394" spans="1:9" ht="15.75" hidden="1" x14ac:dyDescent="0.25">
      <c r="A1394" s="48">
        <v>1393</v>
      </c>
      <c r="B1394" s="49" t="s">
        <v>2850</v>
      </c>
      <c r="C1394" s="49" t="s">
        <v>2851</v>
      </c>
      <c r="D1394" s="53" t="s">
        <v>47</v>
      </c>
      <c r="E1394" s="53" t="s">
        <v>105</v>
      </c>
      <c r="F1394" s="45">
        <f t="shared" si="190"/>
        <v>0</v>
      </c>
      <c r="G1394" s="58">
        <f t="shared" si="180"/>
        <v>0</v>
      </c>
    </row>
    <row r="1395" spans="1:9" ht="15.75" hidden="1" x14ac:dyDescent="0.25">
      <c r="A1395" s="48">
        <v>1394</v>
      </c>
      <c r="B1395" s="49" t="s">
        <v>2852</v>
      </c>
      <c r="C1395" s="49" t="s">
        <v>2853</v>
      </c>
      <c r="D1395" s="53" t="s">
        <v>47</v>
      </c>
      <c r="E1395" s="53" t="s">
        <v>48</v>
      </c>
      <c r="F1395" s="45">
        <f t="shared" si="190"/>
        <v>0</v>
      </c>
      <c r="G1395" s="58">
        <f t="shared" si="180"/>
        <v>0</v>
      </c>
    </row>
    <row r="1396" spans="1:9" ht="15.75" hidden="1" x14ac:dyDescent="0.25">
      <c r="A1396" s="48">
        <v>1395</v>
      </c>
      <c r="B1396" s="49" t="s">
        <v>2854</v>
      </c>
      <c r="C1396" s="49" t="s">
        <v>2855</v>
      </c>
      <c r="D1396" s="53" t="s">
        <v>47</v>
      </c>
      <c r="E1396" s="53" t="s">
        <v>105</v>
      </c>
      <c r="F1396" s="45">
        <f t="shared" si="190"/>
        <v>0</v>
      </c>
      <c r="G1396" s="58">
        <f t="shared" si="180"/>
        <v>0</v>
      </c>
    </row>
    <row r="1397" spans="1:9" ht="15.75" hidden="1" x14ac:dyDescent="0.25">
      <c r="A1397" s="48">
        <v>1396</v>
      </c>
      <c r="B1397" s="49" t="s">
        <v>2856</v>
      </c>
      <c r="C1397" s="49" t="s">
        <v>2857</v>
      </c>
      <c r="D1397" s="53" t="s">
        <v>47</v>
      </c>
      <c r="E1397" s="53" t="s">
        <v>116</v>
      </c>
      <c r="F1397" s="45">
        <f t="shared" si="190"/>
        <v>0</v>
      </c>
      <c r="G1397" s="58">
        <f t="shared" si="180"/>
        <v>0</v>
      </c>
    </row>
    <row r="1398" spans="1:9" ht="15.75" hidden="1" x14ac:dyDescent="0.25">
      <c r="A1398" s="48">
        <v>1397</v>
      </c>
      <c r="B1398" s="49" t="s">
        <v>2858</v>
      </c>
      <c r="C1398" s="49" t="s">
        <v>2859</v>
      </c>
      <c r="D1398" s="53" t="s">
        <v>47</v>
      </c>
      <c r="E1398" s="53" t="s">
        <v>105</v>
      </c>
      <c r="F1398" s="45">
        <f t="shared" si="190"/>
        <v>0</v>
      </c>
      <c r="G1398" s="58">
        <f t="shared" si="180"/>
        <v>0</v>
      </c>
    </row>
    <row r="1399" spans="1:9" ht="15.75" hidden="1" x14ac:dyDescent="0.25">
      <c r="A1399" s="48">
        <v>1398</v>
      </c>
      <c r="B1399" s="49" t="s">
        <v>2860</v>
      </c>
      <c r="C1399" s="49" t="s">
        <v>2861</v>
      </c>
      <c r="D1399" s="53" t="s">
        <v>47</v>
      </c>
      <c r="E1399" s="53" t="s">
        <v>105</v>
      </c>
      <c r="F1399" s="45">
        <f t="shared" si="190"/>
        <v>23</v>
      </c>
      <c r="G1399" s="58">
        <f t="shared" si="180"/>
        <v>0.38333333333333336</v>
      </c>
      <c r="I1399" s="3">
        <v>23</v>
      </c>
    </row>
    <row r="1400" spans="1:9" ht="15.75" hidden="1" x14ac:dyDescent="0.25">
      <c r="A1400" s="48">
        <v>1399</v>
      </c>
      <c r="B1400" s="49" t="s">
        <v>2862</v>
      </c>
      <c r="C1400" s="49" t="s">
        <v>2863</v>
      </c>
      <c r="D1400" s="53" t="s">
        <v>64</v>
      </c>
      <c r="E1400" s="53" t="s">
        <v>186</v>
      </c>
      <c r="F1400" s="45">
        <f t="shared" si="182"/>
        <v>0</v>
      </c>
      <c r="G1400" s="58">
        <f t="shared" si="180"/>
        <v>0</v>
      </c>
    </row>
    <row r="1401" spans="1:9" ht="15.75" hidden="1" x14ac:dyDescent="0.25">
      <c r="A1401" s="48">
        <v>1400</v>
      </c>
      <c r="B1401" s="49" t="s">
        <v>2864</v>
      </c>
      <c r="C1401" s="49" t="s">
        <v>2865</v>
      </c>
      <c r="D1401" s="53" t="s">
        <v>64</v>
      </c>
      <c r="E1401" s="53" t="s">
        <v>186</v>
      </c>
      <c r="F1401" s="45">
        <f t="shared" si="182"/>
        <v>0</v>
      </c>
      <c r="G1401" s="58">
        <f t="shared" ref="G1401:G1419" si="191">F1401/60</f>
        <v>0</v>
      </c>
    </row>
    <row r="1402" spans="1:9" ht="15.75" hidden="1" x14ac:dyDescent="0.25">
      <c r="A1402" s="48">
        <v>1401</v>
      </c>
      <c r="B1402" s="49" t="s">
        <v>2866</v>
      </c>
      <c r="C1402" s="49" t="s">
        <v>2867</v>
      </c>
      <c r="D1402" s="53" t="s">
        <v>64</v>
      </c>
      <c r="E1402" s="53" t="s">
        <v>186</v>
      </c>
      <c r="F1402" s="45">
        <f t="shared" si="182"/>
        <v>0</v>
      </c>
      <c r="G1402" s="58">
        <f t="shared" si="191"/>
        <v>0</v>
      </c>
    </row>
    <row r="1403" spans="1:9" ht="15.75" hidden="1" x14ac:dyDescent="0.25">
      <c r="A1403" s="48">
        <v>1402</v>
      </c>
      <c r="B1403" s="49" t="s">
        <v>2868</v>
      </c>
      <c r="C1403" s="49" t="s">
        <v>2869</v>
      </c>
      <c r="D1403" s="53" t="s">
        <v>64</v>
      </c>
      <c r="E1403" s="53" t="s">
        <v>186</v>
      </c>
      <c r="F1403" s="45">
        <f t="shared" si="182"/>
        <v>0</v>
      </c>
      <c r="G1403" s="58">
        <f t="shared" si="191"/>
        <v>0</v>
      </c>
    </row>
    <row r="1404" spans="1:9" ht="15.75" hidden="1" x14ac:dyDescent="0.25">
      <c r="A1404" s="48">
        <v>1403</v>
      </c>
      <c r="B1404" s="49" t="s">
        <v>2870</v>
      </c>
      <c r="C1404" s="49" t="s">
        <v>2871</v>
      </c>
      <c r="D1404" s="53" t="s">
        <v>64</v>
      </c>
      <c r="E1404" s="53" t="s">
        <v>65</v>
      </c>
      <c r="F1404" s="45">
        <f t="shared" si="182"/>
        <v>0</v>
      </c>
      <c r="G1404" s="58">
        <f t="shared" si="191"/>
        <v>0</v>
      </c>
    </row>
    <row r="1405" spans="1:9" ht="15.75" hidden="1" x14ac:dyDescent="0.25">
      <c r="A1405" s="48">
        <v>1404</v>
      </c>
      <c r="B1405" s="49" t="s">
        <v>2872</v>
      </c>
      <c r="C1405" s="49" t="s">
        <v>2873</v>
      </c>
      <c r="D1405" s="53" t="s">
        <v>64</v>
      </c>
      <c r="E1405" s="53" t="s">
        <v>186</v>
      </c>
      <c r="F1405" s="45">
        <f t="shared" si="182"/>
        <v>0</v>
      </c>
      <c r="G1405" s="58">
        <f t="shared" si="191"/>
        <v>0</v>
      </c>
    </row>
    <row r="1406" spans="1:9" ht="15.75" hidden="1" x14ac:dyDescent="0.25">
      <c r="A1406" s="48">
        <v>1405</v>
      </c>
      <c r="B1406" s="49" t="s">
        <v>2874</v>
      </c>
      <c r="C1406" s="49" t="s">
        <v>2875</v>
      </c>
      <c r="D1406" s="53" t="s">
        <v>64</v>
      </c>
      <c r="E1406" s="53" t="s">
        <v>186</v>
      </c>
      <c r="F1406" s="45">
        <f t="shared" si="182"/>
        <v>0</v>
      </c>
      <c r="G1406" s="58">
        <f t="shared" si="191"/>
        <v>0</v>
      </c>
    </row>
    <row r="1407" spans="1:9" ht="15.75" hidden="1" x14ac:dyDescent="0.25">
      <c r="A1407" s="48">
        <v>1406</v>
      </c>
      <c r="B1407" s="49" t="s">
        <v>2876</v>
      </c>
      <c r="C1407" s="49" t="s">
        <v>2877</v>
      </c>
      <c r="D1407" s="53" t="s">
        <v>64</v>
      </c>
      <c r="E1407" s="53" t="s">
        <v>186</v>
      </c>
      <c r="F1407" s="45">
        <f t="shared" si="182"/>
        <v>0</v>
      </c>
      <c r="G1407" s="58">
        <f t="shared" si="191"/>
        <v>0</v>
      </c>
    </row>
    <row r="1408" spans="1:9" ht="15.75" hidden="1" x14ac:dyDescent="0.25">
      <c r="A1408" s="48">
        <v>1407</v>
      </c>
      <c r="B1408" s="49" t="s">
        <v>2878</v>
      </c>
      <c r="C1408" s="49" t="s">
        <v>2879</v>
      </c>
      <c r="D1408" s="53" t="s">
        <v>64</v>
      </c>
      <c r="E1408" s="53" t="s">
        <v>186</v>
      </c>
      <c r="F1408" s="45">
        <f t="shared" si="182"/>
        <v>0</v>
      </c>
      <c r="G1408" s="58">
        <f t="shared" si="191"/>
        <v>0</v>
      </c>
    </row>
    <row r="1409" spans="1:16" ht="15.75" hidden="1" x14ac:dyDescent="0.25">
      <c r="A1409" s="48">
        <v>1408</v>
      </c>
      <c r="B1409" s="49" t="s">
        <v>2880</v>
      </c>
      <c r="C1409" s="49" t="s">
        <v>2881</v>
      </c>
      <c r="D1409" s="53" t="s">
        <v>64</v>
      </c>
      <c r="E1409" s="53" t="s">
        <v>186</v>
      </c>
      <c r="F1409" s="45">
        <f t="shared" si="182"/>
        <v>0</v>
      </c>
      <c r="G1409" s="58">
        <f t="shared" si="191"/>
        <v>0</v>
      </c>
    </row>
    <row r="1410" spans="1:16" ht="15.75" hidden="1" x14ac:dyDescent="0.25">
      <c r="A1410" s="48">
        <v>1409</v>
      </c>
      <c r="B1410" s="49" t="s">
        <v>2882</v>
      </c>
      <c r="C1410" s="49" t="s">
        <v>2883</v>
      </c>
      <c r="D1410" s="53" t="s">
        <v>64</v>
      </c>
      <c r="E1410" s="53" t="s">
        <v>186</v>
      </c>
      <c r="F1410" s="45">
        <f t="shared" si="182"/>
        <v>0</v>
      </c>
      <c r="G1410" s="58">
        <f t="shared" si="191"/>
        <v>0</v>
      </c>
    </row>
    <row r="1411" spans="1:16" ht="15.75" hidden="1" x14ac:dyDescent="0.25">
      <c r="A1411" s="48">
        <v>1410</v>
      </c>
      <c r="B1411" s="49" t="s">
        <v>2884</v>
      </c>
      <c r="C1411" s="49" t="s">
        <v>2885</v>
      </c>
      <c r="D1411" s="53" t="s">
        <v>64</v>
      </c>
      <c r="E1411" s="53" t="s">
        <v>186</v>
      </c>
      <c r="F1411" s="45">
        <f t="shared" ref="F1411:F1474" si="192">SUM($H1411:$K1411)</f>
        <v>0</v>
      </c>
      <c r="G1411" s="58">
        <f t="shared" si="191"/>
        <v>0</v>
      </c>
    </row>
    <row r="1412" spans="1:16" ht="15.75" hidden="1" x14ac:dyDescent="0.25">
      <c r="A1412" s="48">
        <v>1411</v>
      </c>
      <c r="B1412" s="49" t="s">
        <v>2886</v>
      </c>
      <c r="C1412" s="49" t="s">
        <v>2887</v>
      </c>
      <c r="D1412" s="53" t="s">
        <v>64</v>
      </c>
      <c r="E1412" s="53" t="s">
        <v>186</v>
      </c>
      <c r="F1412" s="45">
        <f t="shared" si="192"/>
        <v>0</v>
      </c>
      <c r="G1412" s="58">
        <f t="shared" si="191"/>
        <v>0</v>
      </c>
    </row>
    <row r="1413" spans="1:16" ht="15.75" hidden="1" x14ac:dyDescent="0.25">
      <c r="A1413" s="48">
        <v>1412</v>
      </c>
      <c r="B1413" s="49" t="s">
        <v>2888</v>
      </c>
      <c r="C1413" s="49" t="s">
        <v>2889</v>
      </c>
      <c r="D1413" s="53" t="s">
        <v>82</v>
      </c>
      <c r="E1413" s="53" t="s">
        <v>140</v>
      </c>
      <c r="F1413" s="45">
        <f t="shared" si="192"/>
        <v>0</v>
      </c>
      <c r="G1413" s="58">
        <f t="shared" si="191"/>
        <v>0</v>
      </c>
    </row>
    <row r="1414" spans="1:16" ht="15.75" hidden="1" x14ac:dyDescent="0.25">
      <c r="A1414" s="48">
        <v>1413</v>
      </c>
      <c r="B1414" s="49" t="s">
        <v>2890</v>
      </c>
      <c r="C1414" s="49" t="s">
        <v>2891</v>
      </c>
      <c r="D1414" s="53" t="s">
        <v>47</v>
      </c>
      <c r="E1414" s="53" t="s">
        <v>79</v>
      </c>
      <c r="F1414" s="45">
        <f>SUM($H1414:$P1414)</f>
        <v>0</v>
      </c>
      <c r="G1414" s="58">
        <f t="shared" si="191"/>
        <v>0</v>
      </c>
    </row>
    <row r="1415" spans="1:16" ht="15.75" hidden="1" x14ac:dyDescent="0.25">
      <c r="A1415" s="48">
        <v>1414</v>
      </c>
      <c r="B1415" s="49" t="s">
        <v>2892</v>
      </c>
      <c r="C1415" s="49" t="s">
        <v>2893</v>
      </c>
      <c r="D1415" s="53" t="s">
        <v>82</v>
      </c>
      <c r="E1415" s="53" t="s">
        <v>83</v>
      </c>
      <c r="F1415" s="45">
        <f t="shared" si="192"/>
        <v>0</v>
      </c>
      <c r="G1415" s="58">
        <f t="shared" si="191"/>
        <v>0</v>
      </c>
    </row>
    <row r="1416" spans="1:16" ht="15.75" hidden="1" x14ac:dyDescent="0.25">
      <c r="A1416" s="48">
        <v>1415</v>
      </c>
      <c r="B1416" s="49" t="s">
        <v>2894</v>
      </c>
      <c r="C1416" s="49" t="s">
        <v>2895</v>
      </c>
      <c r="D1416" s="53" t="s">
        <v>47</v>
      </c>
      <c r="E1416" s="53" t="s">
        <v>56</v>
      </c>
      <c r="F1416" s="45">
        <f t="shared" ref="F1416:F1418" si="193">SUM($H1416:$P1416)</f>
        <v>0</v>
      </c>
      <c r="G1416" s="58">
        <f t="shared" si="191"/>
        <v>0</v>
      </c>
    </row>
    <row r="1417" spans="1:16" ht="15.75" hidden="1" x14ac:dyDescent="0.25">
      <c r="A1417" s="48">
        <v>1416</v>
      </c>
      <c r="B1417" s="49" t="s">
        <v>2896</v>
      </c>
      <c r="C1417" s="49" t="s">
        <v>2897</v>
      </c>
      <c r="D1417" s="53" t="s">
        <v>47</v>
      </c>
      <c r="E1417" s="53" t="s">
        <v>48</v>
      </c>
      <c r="F1417" s="45">
        <f t="shared" si="193"/>
        <v>0</v>
      </c>
      <c r="G1417" s="58">
        <f t="shared" si="191"/>
        <v>0</v>
      </c>
    </row>
    <row r="1418" spans="1:16" ht="15.75" hidden="1" x14ac:dyDescent="0.25">
      <c r="A1418" s="48">
        <v>1417</v>
      </c>
      <c r="B1418" s="49" t="s">
        <v>2898</v>
      </c>
      <c r="C1418" s="49" t="s">
        <v>2899</v>
      </c>
      <c r="D1418" s="53" t="s">
        <v>47</v>
      </c>
      <c r="E1418" s="53" t="s">
        <v>51</v>
      </c>
      <c r="F1418" s="45">
        <f t="shared" si="193"/>
        <v>0</v>
      </c>
      <c r="G1418" s="58">
        <f t="shared" si="191"/>
        <v>0</v>
      </c>
    </row>
    <row r="1419" spans="1:16" ht="15.75" hidden="1" x14ac:dyDescent="0.25">
      <c r="A1419" s="48">
        <v>1418</v>
      </c>
      <c r="B1419" s="49" t="s">
        <v>2900</v>
      </c>
      <c r="C1419" s="49" t="s">
        <v>2901</v>
      </c>
      <c r="D1419" s="53" t="s">
        <v>64</v>
      </c>
      <c r="E1419" s="53" t="s">
        <v>186</v>
      </c>
      <c r="F1419" s="45">
        <f t="shared" si="192"/>
        <v>0</v>
      </c>
      <c r="G1419" s="58">
        <f t="shared" si="191"/>
        <v>0</v>
      </c>
    </row>
    <row r="1420" spans="1:16" ht="15.75" hidden="1" x14ac:dyDescent="0.25">
      <c r="A1420" s="48">
        <v>1419</v>
      </c>
      <c r="B1420" s="49" t="s">
        <v>2902</v>
      </c>
      <c r="C1420" s="49" t="s">
        <v>2903</v>
      </c>
      <c r="D1420" s="53" t="s">
        <v>123</v>
      </c>
      <c r="E1420" s="53" t="s">
        <v>123</v>
      </c>
      <c r="F1420" s="45">
        <f t="shared" si="192"/>
        <v>0</v>
      </c>
      <c r="G1420" s="57"/>
      <c r="M1420"/>
      <c r="N1420"/>
      <c r="O1420"/>
      <c r="P1420"/>
    </row>
    <row r="1421" spans="1:16" ht="15.75" hidden="1" x14ac:dyDescent="0.25">
      <c r="A1421" s="48">
        <v>1420</v>
      </c>
      <c r="B1421" s="49" t="s">
        <v>2904</v>
      </c>
      <c r="C1421" s="49" t="s">
        <v>2905</v>
      </c>
      <c r="D1421" s="53" t="s">
        <v>47</v>
      </c>
      <c r="E1421" s="53" t="s">
        <v>56</v>
      </c>
      <c r="F1421" s="45">
        <f>SUM($H1421:$P1421)</f>
        <v>0</v>
      </c>
      <c r="G1421" s="58">
        <f t="shared" ref="G1421:G1484" si="194">F1421/60</f>
        <v>0</v>
      </c>
    </row>
    <row r="1422" spans="1:16" ht="15.75" hidden="1" x14ac:dyDescent="0.25">
      <c r="A1422" s="48">
        <v>1421</v>
      </c>
      <c r="B1422" s="49" t="s">
        <v>2906</v>
      </c>
      <c r="C1422" s="49" t="s">
        <v>2907</v>
      </c>
      <c r="D1422" s="53" t="s">
        <v>64</v>
      </c>
      <c r="E1422" s="53" t="s">
        <v>186</v>
      </c>
      <c r="F1422" s="45">
        <f t="shared" si="192"/>
        <v>0</v>
      </c>
      <c r="G1422" s="58">
        <f t="shared" si="194"/>
        <v>0</v>
      </c>
    </row>
    <row r="1423" spans="1:16" ht="15.75" hidden="1" x14ac:dyDescent="0.25">
      <c r="A1423" s="48">
        <v>1422</v>
      </c>
      <c r="B1423" s="49" t="s">
        <v>2908</v>
      </c>
      <c r="C1423" s="49" t="s">
        <v>2909</v>
      </c>
      <c r="D1423" s="53" t="s">
        <v>47</v>
      </c>
      <c r="E1423" s="53" t="s">
        <v>56</v>
      </c>
      <c r="F1423" s="45">
        <f>SUM($H1423:$P1423)</f>
        <v>0</v>
      </c>
      <c r="G1423" s="58">
        <f t="shared" si="194"/>
        <v>0</v>
      </c>
    </row>
    <row r="1424" spans="1:16" ht="15.75" hidden="1" x14ac:dyDescent="0.25">
      <c r="A1424" s="48">
        <v>1423</v>
      </c>
      <c r="B1424" s="49" t="s">
        <v>2910</v>
      </c>
      <c r="C1424" s="49" t="s">
        <v>2911</v>
      </c>
      <c r="D1424" s="53" t="s">
        <v>64</v>
      </c>
      <c r="E1424" s="53" t="s">
        <v>186</v>
      </c>
      <c r="F1424" s="45">
        <f t="shared" si="192"/>
        <v>0</v>
      </c>
      <c r="G1424" s="58">
        <f t="shared" si="194"/>
        <v>0</v>
      </c>
    </row>
    <row r="1425" spans="1:11" ht="15.75" hidden="1" x14ac:dyDescent="0.25">
      <c r="A1425" s="48">
        <v>1424</v>
      </c>
      <c r="B1425" s="49" t="s">
        <v>2912</v>
      </c>
      <c r="C1425" s="49" t="s">
        <v>2913</v>
      </c>
      <c r="D1425" s="53" t="s">
        <v>64</v>
      </c>
      <c r="E1425" s="53" t="s">
        <v>186</v>
      </c>
      <c r="F1425" s="45">
        <f t="shared" si="192"/>
        <v>0</v>
      </c>
      <c r="G1425" s="58">
        <f t="shared" si="194"/>
        <v>0</v>
      </c>
    </row>
    <row r="1426" spans="1:11" ht="15.75" hidden="1" x14ac:dyDescent="0.25">
      <c r="A1426" s="48">
        <v>1425</v>
      </c>
      <c r="B1426" s="49" t="s">
        <v>2914</v>
      </c>
      <c r="C1426" s="49" t="s">
        <v>2915</v>
      </c>
      <c r="D1426" s="53" t="s">
        <v>64</v>
      </c>
      <c r="E1426" s="53" t="s">
        <v>186</v>
      </c>
      <c r="F1426" s="45">
        <f t="shared" si="192"/>
        <v>0</v>
      </c>
      <c r="G1426" s="58">
        <f t="shared" si="194"/>
        <v>0</v>
      </c>
    </row>
    <row r="1427" spans="1:11" ht="15.75" hidden="1" x14ac:dyDescent="0.25">
      <c r="A1427" s="48">
        <v>1426</v>
      </c>
      <c r="B1427" s="49" t="s">
        <v>2916</v>
      </c>
      <c r="C1427" s="49" t="s">
        <v>2917</v>
      </c>
      <c r="D1427" s="53" t="s">
        <v>64</v>
      </c>
      <c r="E1427" s="53" t="s">
        <v>186</v>
      </c>
      <c r="F1427" s="45">
        <f t="shared" si="192"/>
        <v>0</v>
      </c>
      <c r="G1427" s="58">
        <f t="shared" si="194"/>
        <v>0</v>
      </c>
    </row>
    <row r="1428" spans="1:11" ht="15.75" hidden="1" x14ac:dyDescent="0.25">
      <c r="A1428" s="48">
        <v>1427</v>
      </c>
      <c r="B1428" s="49" t="s">
        <v>2918</v>
      </c>
      <c r="C1428" s="49" t="s">
        <v>2919</v>
      </c>
      <c r="D1428" s="53" t="s">
        <v>64</v>
      </c>
      <c r="E1428" s="53" t="s">
        <v>186</v>
      </c>
      <c r="F1428" s="45">
        <f t="shared" si="192"/>
        <v>0</v>
      </c>
      <c r="G1428" s="58">
        <f t="shared" si="194"/>
        <v>0</v>
      </c>
    </row>
    <row r="1429" spans="1:11" ht="15.75" hidden="1" x14ac:dyDescent="0.25">
      <c r="A1429" s="48">
        <v>1428</v>
      </c>
      <c r="B1429" s="49" t="s">
        <v>2920</v>
      </c>
      <c r="C1429" s="49" t="s">
        <v>2921</v>
      </c>
      <c r="D1429" s="53" t="s">
        <v>64</v>
      </c>
      <c r="E1429" s="53" t="s">
        <v>186</v>
      </c>
      <c r="F1429" s="45">
        <f t="shared" si="192"/>
        <v>0</v>
      </c>
      <c r="G1429" s="58">
        <f t="shared" si="194"/>
        <v>0</v>
      </c>
    </row>
    <row r="1430" spans="1:11" ht="15.75" hidden="1" x14ac:dyDescent="0.25">
      <c r="A1430" s="48">
        <v>1429</v>
      </c>
      <c r="B1430" s="49" t="s">
        <v>2922</v>
      </c>
      <c r="C1430" s="49" t="s">
        <v>2923</v>
      </c>
      <c r="D1430" s="53" t="s">
        <v>64</v>
      </c>
      <c r="E1430" s="53" t="s">
        <v>186</v>
      </c>
      <c r="F1430" s="45">
        <f t="shared" si="192"/>
        <v>0</v>
      </c>
      <c r="G1430" s="58">
        <f t="shared" si="194"/>
        <v>0</v>
      </c>
    </row>
    <row r="1431" spans="1:11" ht="15.75" hidden="1" x14ac:dyDescent="0.25">
      <c r="A1431" s="48">
        <v>1430</v>
      </c>
      <c r="B1431" s="49" t="s">
        <v>2924</v>
      </c>
      <c r="C1431" s="49" t="s">
        <v>2925</v>
      </c>
      <c r="D1431" s="53" t="s">
        <v>64</v>
      </c>
      <c r="E1431" s="53" t="s">
        <v>65</v>
      </c>
      <c r="F1431" s="45">
        <f t="shared" si="192"/>
        <v>0</v>
      </c>
      <c r="G1431" s="58">
        <f t="shared" si="194"/>
        <v>0</v>
      </c>
    </row>
    <row r="1432" spans="1:11" ht="15.75" hidden="1" x14ac:dyDescent="0.25">
      <c r="A1432" s="48">
        <v>1431</v>
      </c>
      <c r="B1432" s="49" t="s">
        <v>2926</v>
      </c>
      <c r="C1432" s="49" t="s">
        <v>2927</v>
      </c>
      <c r="D1432" s="53" t="s">
        <v>64</v>
      </c>
      <c r="E1432" s="53" t="s">
        <v>186</v>
      </c>
      <c r="F1432" s="45">
        <f t="shared" si="192"/>
        <v>0</v>
      </c>
      <c r="G1432" s="58">
        <f t="shared" si="194"/>
        <v>0</v>
      </c>
    </row>
    <row r="1433" spans="1:11" ht="15.75" hidden="1" x14ac:dyDescent="0.25">
      <c r="A1433" s="48">
        <v>1432</v>
      </c>
      <c r="B1433" s="49" t="s">
        <v>2928</v>
      </c>
      <c r="C1433" s="49" t="s">
        <v>2929</v>
      </c>
      <c r="D1433" s="53" t="s">
        <v>64</v>
      </c>
      <c r="E1433" s="53" t="s">
        <v>186</v>
      </c>
      <c r="F1433" s="45">
        <f t="shared" si="192"/>
        <v>0</v>
      </c>
      <c r="G1433" s="58">
        <f t="shared" si="194"/>
        <v>0</v>
      </c>
    </row>
    <row r="1434" spans="1:11" ht="15.75" hidden="1" x14ac:dyDescent="0.25">
      <c r="A1434" s="48">
        <v>1433</v>
      </c>
      <c r="B1434" s="49" t="s">
        <v>2930</v>
      </c>
      <c r="C1434" s="49" t="s">
        <v>2931</v>
      </c>
      <c r="D1434" s="53" t="s">
        <v>64</v>
      </c>
      <c r="E1434" s="53" t="s">
        <v>65</v>
      </c>
      <c r="F1434" s="45">
        <f t="shared" si="192"/>
        <v>90</v>
      </c>
      <c r="G1434" s="58">
        <f t="shared" si="194"/>
        <v>1.5</v>
      </c>
      <c r="K1434" s="3">
        <v>90</v>
      </c>
    </row>
    <row r="1435" spans="1:11" ht="15.75" hidden="1" x14ac:dyDescent="0.25">
      <c r="A1435" s="48">
        <v>1434</v>
      </c>
      <c r="B1435" s="49" t="s">
        <v>2932</v>
      </c>
      <c r="C1435" s="49" t="s">
        <v>2933</v>
      </c>
      <c r="D1435" s="53" t="s">
        <v>64</v>
      </c>
      <c r="E1435" s="53" t="s">
        <v>186</v>
      </c>
      <c r="F1435" s="45">
        <f t="shared" si="192"/>
        <v>0</v>
      </c>
      <c r="G1435" s="58">
        <f t="shared" si="194"/>
        <v>0</v>
      </c>
    </row>
    <row r="1436" spans="1:11" ht="15.75" hidden="1" x14ac:dyDescent="0.25">
      <c r="A1436" s="48">
        <v>1435</v>
      </c>
      <c r="B1436" s="49" t="s">
        <v>2934</v>
      </c>
      <c r="C1436" s="49" t="s">
        <v>2935</v>
      </c>
      <c r="D1436" s="53" t="s">
        <v>47</v>
      </c>
      <c r="E1436" s="53" t="s">
        <v>116</v>
      </c>
      <c r="F1436" s="45">
        <f t="shared" ref="F1436:F1452" si="195">SUM($H1436:$P1436)</f>
        <v>0</v>
      </c>
      <c r="G1436" s="58">
        <f t="shared" si="194"/>
        <v>0</v>
      </c>
    </row>
    <row r="1437" spans="1:11" ht="15.75" hidden="1" x14ac:dyDescent="0.25">
      <c r="A1437" s="48">
        <v>1436</v>
      </c>
      <c r="B1437" s="49" t="s">
        <v>2936</v>
      </c>
      <c r="C1437" s="49" t="s">
        <v>2937</v>
      </c>
      <c r="D1437" s="53" t="s">
        <v>47</v>
      </c>
      <c r="E1437" s="53" t="s">
        <v>86</v>
      </c>
      <c r="F1437" s="45">
        <f t="shared" si="195"/>
        <v>0</v>
      </c>
      <c r="G1437" s="58">
        <f t="shared" si="194"/>
        <v>0</v>
      </c>
    </row>
    <row r="1438" spans="1:11" ht="15.75" hidden="1" x14ac:dyDescent="0.25">
      <c r="A1438" s="48">
        <v>1437</v>
      </c>
      <c r="B1438" s="49" t="s">
        <v>2938</v>
      </c>
      <c r="C1438" s="49" t="s">
        <v>2939</v>
      </c>
      <c r="D1438" s="53" t="s">
        <v>47</v>
      </c>
      <c r="E1438" s="53" t="s">
        <v>48</v>
      </c>
      <c r="F1438" s="45">
        <f t="shared" si="195"/>
        <v>0</v>
      </c>
      <c r="G1438" s="58">
        <f t="shared" si="194"/>
        <v>0</v>
      </c>
    </row>
    <row r="1439" spans="1:11" ht="15.75" hidden="1" x14ac:dyDescent="0.25">
      <c r="A1439" s="48">
        <v>1438</v>
      </c>
      <c r="B1439" s="49" t="s">
        <v>2940</v>
      </c>
      <c r="C1439" s="49" t="s">
        <v>2941</v>
      </c>
      <c r="D1439" s="53" t="s">
        <v>47</v>
      </c>
      <c r="E1439" s="53" t="s">
        <v>48</v>
      </c>
      <c r="F1439" s="45">
        <f t="shared" si="195"/>
        <v>0</v>
      </c>
      <c r="G1439" s="58">
        <f t="shared" si="194"/>
        <v>0</v>
      </c>
    </row>
    <row r="1440" spans="1:11" ht="15.75" hidden="1" x14ac:dyDescent="0.25">
      <c r="A1440" s="48">
        <v>1439</v>
      </c>
      <c r="B1440" s="49" t="s">
        <v>2942</v>
      </c>
      <c r="C1440" s="49" t="s">
        <v>2943</v>
      </c>
      <c r="D1440" s="53" t="s">
        <v>47</v>
      </c>
      <c r="E1440" s="53" t="s">
        <v>48</v>
      </c>
      <c r="F1440" s="45">
        <f t="shared" si="195"/>
        <v>0</v>
      </c>
      <c r="G1440" s="58">
        <f t="shared" si="194"/>
        <v>0</v>
      </c>
    </row>
    <row r="1441" spans="1:7" ht="15.75" hidden="1" x14ac:dyDescent="0.25">
      <c r="A1441" s="48">
        <v>1440</v>
      </c>
      <c r="B1441" s="49" t="s">
        <v>2944</v>
      </c>
      <c r="C1441" s="49" t="s">
        <v>2945</v>
      </c>
      <c r="D1441" s="53" t="s">
        <v>47</v>
      </c>
      <c r="E1441" s="53" t="s">
        <v>48</v>
      </c>
      <c r="F1441" s="45">
        <f t="shared" si="195"/>
        <v>0</v>
      </c>
      <c r="G1441" s="58">
        <f t="shared" si="194"/>
        <v>0</v>
      </c>
    </row>
    <row r="1442" spans="1:7" ht="15.75" hidden="1" x14ac:dyDescent="0.25">
      <c r="A1442" s="48">
        <v>1441</v>
      </c>
      <c r="B1442" s="49" t="s">
        <v>2946</v>
      </c>
      <c r="C1442" s="49" t="s">
        <v>2947</v>
      </c>
      <c r="D1442" s="53" t="s">
        <v>47</v>
      </c>
      <c r="E1442" s="53" t="s">
        <v>48</v>
      </c>
      <c r="F1442" s="45">
        <f t="shared" si="195"/>
        <v>0</v>
      </c>
      <c r="G1442" s="58">
        <f t="shared" si="194"/>
        <v>0</v>
      </c>
    </row>
    <row r="1443" spans="1:7" ht="15.75" hidden="1" x14ac:dyDescent="0.25">
      <c r="A1443" s="48">
        <v>1442</v>
      </c>
      <c r="B1443" s="49" t="s">
        <v>2948</v>
      </c>
      <c r="C1443" s="49" t="s">
        <v>2949</v>
      </c>
      <c r="D1443" s="53" t="s">
        <v>47</v>
      </c>
      <c r="E1443" s="53" t="s">
        <v>48</v>
      </c>
      <c r="F1443" s="45">
        <f t="shared" si="195"/>
        <v>0</v>
      </c>
      <c r="G1443" s="58">
        <f t="shared" si="194"/>
        <v>0</v>
      </c>
    </row>
    <row r="1444" spans="1:7" ht="15.75" hidden="1" x14ac:dyDescent="0.25">
      <c r="A1444" s="48">
        <v>1443</v>
      </c>
      <c r="B1444" s="49" t="s">
        <v>2950</v>
      </c>
      <c r="C1444" s="49" t="s">
        <v>2951</v>
      </c>
      <c r="D1444" s="53" t="s">
        <v>47</v>
      </c>
      <c r="E1444" s="53" t="s">
        <v>48</v>
      </c>
      <c r="F1444" s="45">
        <f t="shared" si="195"/>
        <v>0</v>
      </c>
      <c r="G1444" s="58">
        <f t="shared" si="194"/>
        <v>0</v>
      </c>
    </row>
    <row r="1445" spans="1:7" ht="15.75" hidden="1" x14ac:dyDescent="0.25">
      <c r="A1445" s="48">
        <v>1444</v>
      </c>
      <c r="B1445" s="49" t="s">
        <v>2952</v>
      </c>
      <c r="C1445" s="49" t="s">
        <v>2953</v>
      </c>
      <c r="D1445" s="53" t="s">
        <v>47</v>
      </c>
      <c r="E1445" s="53" t="s">
        <v>48</v>
      </c>
      <c r="F1445" s="45">
        <f t="shared" si="195"/>
        <v>0</v>
      </c>
      <c r="G1445" s="58">
        <f t="shared" si="194"/>
        <v>0</v>
      </c>
    </row>
    <row r="1446" spans="1:7" ht="15.75" hidden="1" x14ac:dyDescent="0.25">
      <c r="A1446" s="48">
        <v>1445</v>
      </c>
      <c r="B1446" s="49" t="s">
        <v>2954</v>
      </c>
      <c r="C1446" s="49" t="s">
        <v>2955</v>
      </c>
      <c r="D1446" s="53" t="s">
        <v>47</v>
      </c>
      <c r="E1446" s="53" t="s">
        <v>48</v>
      </c>
      <c r="F1446" s="45">
        <f t="shared" si="195"/>
        <v>0</v>
      </c>
      <c r="G1446" s="58">
        <f t="shared" si="194"/>
        <v>0</v>
      </c>
    </row>
    <row r="1447" spans="1:7" ht="15.75" hidden="1" x14ac:dyDescent="0.25">
      <c r="A1447" s="48">
        <v>1446</v>
      </c>
      <c r="B1447" s="49" t="s">
        <v>2956</v>
      </c>
      <c r="C1447" s="49" t="s">
        <v>2957</v>
      </c>
      <c r="D1447" s="53" t="s">
        <v>47</v>
      </c>
      <c r="E1447" s="53" t="s">
        <v>48</v>
      </c>
      <c r="F1447" s="45">
        <f t="shared" si="195"/>
        <v>0</v>
      </c>
      <c r="G1447" s="58">
        <f t="shared" si="194"/>
        <v>0</v>
      </c>
    </row>
    <row r="1448" spans="1:7" ht="15.75" hidden="1" x14ac:dyDescent="0.25">
      <c r="A1448" s="48">
        <v>1447</v>
      </c>
      <c r="B1448" s="49" t="s">
        <v>2958</v>
      </c>
      <c r="C1448" s="49" t="s">
        <v>2959</v>
      </c>
      <c r="D1448" s="53" t="s">
        <v>47</v>
      </c>
      <c r="E1448" s="53" t="s">
        <v>48</v>
      </c>
      <c r="F1448" s="45">
        <f t="shared" si="195"/>
        <v>0</v>
      </c>
      <c r="G1448" s="58">
        <f t="shared" si="194"/>
        <v>0</v>
      </c>
    </row>
    <row r="1449" spans="1:7" ht="15.75" hidden="1" x14ac:dyDescent="0.25">
      <c r="A1449" s="48">
        <v>1448</v>
      </c>
      <c r="B1449" s="49" t="s">
        <v>2960</v>
      </c>
      <c r="C1449" s="49" t="s">
        <v>2961</v>
      </c>
      <c r="D1449" s="53" t="s">
        <v>47</v>
      </c>
      <c r="E1449" s="53" t="s">
        <v>48</v>
      </c>
      <c r="F1449" s="45">
        <f t="shared" si="195"/>
        <v>0</v>
      </c>
      <c r="G1449" s="58">
        <f t="shared" si="194"/>
        <v>0</v>
      </c>
    </row>
    <row r="1450" spans="1:7" ht="15.75" hidden="1" x14ac:dyDescent="0.25">
      <c r="A1450" s="48">
        <v>1449</v>
      </c>
      <c r="B1450" s="49" t="s">
        <v>2962</v>
      </c>
      <c r="C1450" s="49" t="s">
        <v>2963</v>
      </c>
      <c r="D1450" s="53" t="s">
        <v>47</v>
      </c>
      <c r="E1450" s="53" t="s">
        <v>48</v>
      </c>
      <c r="F1450" s="45">
        <f t="shared" si="195"/>
        <v>0</v>
      </c>
      <c r="G1450" s="58">
        <f t="shared" si="194"/>
        <v>0</v>
      </c>
    </row>
    <row r="1451" spans="1:7" ht="15.75" hidden="1" x14ac:dyDescent="0.25">
      <c r="A1451" s="48">
        <v>1450</v>
      </c>
      <c r="B1451" s="49" t="s">
        <v>2964</v>
      </c>
      <c r="C1451" s="49" t="s">
        <v>2965</v>
      </c>
      <c r="D1451" s="53" t="s">
        <v>47</v>
      </c>
      <c r="E1451" s="53" t="s">
        <v>48</v>
      </c>
      <c r="F1451" s="45">
        <f t="shared" si="195"/>
        <v>0</v>
      </c>
      <c r="G1451" s="58">
        <f t="shared" si="194"/>
        <v>0</v>
      </c>
    </row>
    <row r="1452" spans="1:7" ht="15.75" hidden="1" x14ac:dyDescent="0.25">
      <c r="A1452" s="48">
        <v>1451</v>
      </c>
      <c r="B1452" s="49" t="s">
        <v>2966</v>
      </c>
      <c r="C1452" s="49" t="s">
        <v>2967</v>
      </c>
      <c r="D1452" s="53" t="s">
        <v>47</v>
      </c>
      <c r="E1452" s="53" t="s">
        <v>48</v>
      </c>
      <c r="F1452" s="45">
        <f t="shared" si="195"/>
        <v>0</v>
      </c>
      <c r="G1452" s="58">
        <f t="shared" si="194"/>
        <v>0</v>
      </c>
    </row>
    <row r="1453" spans="1:7" ht="15.75" hidden="1" x14ac:dyDescent="0.25">
      <c r="A1453" s="48">
        <v>1452</v>
      </c>
      <c r="B1453" s="49" t="s">
        <v>2968</v>
      </c>
      <c r="C1453" s="49" t="s">
        <v>2969</v>
      </c>
      <c r="D1453" s="53" t="s">
        <v>64</v>
      </c>
      <c r="E1453" s="53" t="s">
        <v>186</v>
      </c>
      <c r="F1453" s="45">
        <f t="shared" si="192"/>
        <v>0</v>
      </c>
      <c r="G1453" s="58">
        <f t="shared" si="194"/>
        <v>0</v>
      </c>
    </row>
    <row r="1454" spans="1:7" ht="15.75" hidden="1" x14ac:dyDescent="0.25">
      <c r="A1454" s="48">
        <v>1453</v>
      </c>
      <c r="B1454" s="49" t="s">
        <v>2970</v>
      </c>
      <c r="C1454" s="49" t="s">
        <v>2971</v>
      </c>
      <c r="D1454" s="53" t="s">
        <v>64</v>
      </c>
      <c r="E1454" s="53" t="s">
        <v>186</v>
      </c>
      <c r="F1454" s="45">
        <f t="shared" si="192"/>
        <v>0</v>
      </c>
      <c r="G1454" s="58">
        <f t="shared" si="194"/>
        <v>0</v>
      </c>
    </row>
    <row r="1455" spans="1:7" ht="15.75" hidden="1" x14ac:dyDescent="0.25">
      <c r="A1455" s="48">
        <v>1454</v>
      </c>
      <c r="B1455" s="49" t="s">
        <v>2972</v>
      </c>
      <c r="C1455" s="49" t="s">
        <v>2973</v>
      </c>
      <c r="D1455" s="53" t="s">
        <v>64</v>
      </c>
      <c r="E1455" s="53" t="s">
        <v>186</v>
      </c>
      <c r="F1455" s="45">
        <f t="shared" si="192"/>
        <v>0</v>
      </c>
      <c r="G1455" s="58">
        <f t="shared" si="194"/>
        <v>0</v>
      </c>
    </row>
    <row r="1456" spans="1:7" ht="15.75" hidden="1" x14ac:dyDescent="0.25">
      <c r="A1456" s="48">
        <v>1455</v>
      </c>
      <c r="B1456" s="49" t="s">
        <v>2974</v>
      </c>
      <c r="C1456" s="49" t="s">
        <v>2975</v>
      </c>
      <c r="D1456" s="53" t="s">
        <v>64</v>
      </c>
      <c r="E1456" s="53" t="s">
        <v>186</v>
      </c>
      <c r="F1456" s="45">
        <f t="shared" si="192"/>
        <v>0</v>
      </c>
      <c r="G1456" s="58">
        <f t="shared" si="194"/>
        <v>0</v>
      </c>
    </row>
    <row r="1457" spans="1:7" ht="15.75" hidden="1" x14ac:dyDescent="0.25">
      <c r="A1457" s="48">
        <v>1456</v>
      </c>
      <c r="B1457" s="49" t="s">
        <v>2976</v>
      </c>
      <c r="C1457" s="49" t="s">
        <v>2977</v>
      </c>
      <c r="D1457" s="53" t="s">
        <v>64</v>
      </c>
      <c r="E1457" s="53" t="s">
        <v>186</v>
      </c>
      <c r="F1457" s="45">
        <f t="shared" si="192"/>
        <v>0</v>
      </c>
      <c r="G1457" s="58">
        <f t="shared" si="194"/>
        <v>0</v>
      </c>
    </row>
    <row r="1458" spans="1:7" ht="15.75" hidden="1" x14ac:dyDescent="0.25">
      <c r="A1458" s="48">
        <v>1457</v>
      </c>
      <c r="B1458" s="49" t="s">
        <v>2978</v>
      </c>
      <c r="C1458" s="49" t="s">
        <v>2979</v>
      </c>
      <c r="D1458" s="53" t="s">
        <v>64</v>
      </c>
      <c r="E1458" s="53" t="s">
        <v>186</v>
      </c>
      <c r="F1458" s="45">
        <f t="shared" si="192"/>
        <v>0</v>
      </c>
      <c r="G1458" s="58">
        <f t="shared" si="194"/>
        <v>0</v>
      </c>
    </row>
    <row r="1459" spans="1:7" ht="15.75" hidden="1" x14ac:dyDescent="0.25">
      <c r="A1459" s="48">
        <v>1458</v>
      </c>
      <c r="B1459" s="49" t="s">
        <v>2980</v>
      </c>
      <c r="C1459" s="49" t="s">
        <v>2981</v>
      </c>
      <c r="D1459" s="53" t="s">
        <v>64</v>
      </c>
      <c r="E1459" s="53" t="s">
        <v>186</v>
      </c>
      <c r="F1459" s="45">
        <f t="shared" si="192"/>
        <v>0</v>
      </c>
      <c r="G1459" s="58">
        <f t="shared" si="194"/>
        <v>0</v>
      </c>
    </row>
    <row r="1460" spans="1:7" ht="15.75" hidden="1" x14ac:dyDescent="0.25">
      <c r="A1460" s="48">
        <v>1459</v>
      </c>
      <c r="B1460" s="49" t="s">
        <v>2982</v>
      </c>
      <c r="C1460" s="49" t="s">
        <v>2983</v>
      </c>
      <c r="D1460" s="53" t="s">
        <v>64</v>
      </c>
      <c r="E1460" s="53" t="s">
        <v>186</v>
      </c>
      <c r="F1460" s="45">
        <f t="shared" si="192"/>
        <v>0</v>
      </c>
      <c r="G1460" s="58">
        <f t="shared" si="194"/>
        <v>0</v>
      </c>
    </row>
    <row r="1461" spans="1:7" ht="15.75" hidden="1" x14ac:dyDescent="0.25">
      <c r="A1461" s="48">
        <v>1460</v>
      </c>
      <c r="B1461" s="49" t="s">
        <v>2984</v>
      </c>
      <c r="C1461" s="49" t="s">
        <v>2985</v>
      </c>
      <c r="D1461" s="53" t="s">
        <v>64</v>
      </c>
      <c r="E1461" s="53" t="s">
        <v>186</v>
      </c>
      <c r="F1461" s="45">
        <f t="shared" si="192"/>
        <v>0</v>
      </c>
      <c r="G1461" s="58">
        <f t="shared" si="194"/>
        <v>0</v>
      </c>
    </row>
    <row r="1462" spans="1:7" ht="15.75" hidden="1" x14ac:dyDescent="0.25">
      <c r="A1462" s="48">
        <v>1461</v>
      </c>
      <c r="B1462" s="49" t="s">
        <v>2986</v>
      </c>
      <c r="C1462" s="49" t="s">
        <v>2987</v>
      </c>
      <c r="D1462" s="53" t="s">
        <v>47</v>
      </c>
      <c r="E1462" s="53" t="s">
        <v>86</v>
      </c>
      <c r="F1462" s="45">
        <f>SUM($H1462:$P1462)</f>
        <v>0</v>
      </c>
      <c r="G1462" s="58">
        <f t="shared" si="194"/>
        <v>0</v>
      </c>
    </row>
    <row r="1463" spans="1:7" ht="15.75" hidden="1" x14ac:dyDescent="0.25">
      <c r="A1463" s="48">
        <v>1462</v>
      </c>
      <c r="B1463" s="49" t="s">
        <v>2988</v>
      </c>
      <c r="C1463" s="49" t="s">
        <v>2989</v>
      </c>
      <c r="D1463" s="53" t="s">
        <v>64</v>
      </c>
      <c r="E1463" s="53" t="s">
        <v>186</v>
      </c>
      <c r="F1463" s="45">
        <f t="shared" si="192"/>
        <v>0</v>
      </c>
      <c r="G1463" s="58">
        <f t="shared" si="194"/>
        <v>0</v>
      </c>
    </row>
    <row r="1464" spans="1:7" ht="15.75" hidden="1" x14ac:dyDescent="0.25">
      <c r="A1464" s="48">
        <v>1463</v>
      </c>
      <c r="B1464" s="49" t="s">
        <v>2990</v>
      </c>
      <c r="C1464" s="49" t="s">
        <v>2991</v>
      </c>
      <c r="D1464" s="53" t="s">
        <v>47</v>
      </c>
      <c r="E1464" s="53" t="s">
        <v>147</v>
      </c>
      <c r="F1464" s="45">
        <f t="shared" ref="F1464:F1465" si="196">SUM($H1464:$P1464)</f>
        <v>0</v>
      </c>
      <c r="G1464" s="58">
        <f t="shared" si="194"/>
        <v>0</v>
      </c>
    </row>
    <row r="1465" spans="1:7" ht="15.75" hidden="1" x14ac:dyDescent="0.25">
      <c r="A1465" s="48">
        <v>1464</v>
      </c>
      <c r="B1465" s="49" t="s">
        <v>2992</v>
      </c>
      <c r="C1465" s="49" t="s">
        <v>2993</v>
      </c>
      <c r="D1465" s="53" t="s">
        <v>47</v>
      </c>
      <c r="E1465" s="53" t="s">
        <v>116</v>
      </c>
      <c r="F1465" s="45">
        <f t="shared" si="196"/>
        <v>0</v>
      </c>
      <c r="G1465" s="58">
        <f t="shared" si="194"/>
        <v>0</v>
      </c>
    </row>
    <row r="1466" spans="1:7" ht="15.75" hidden="1" x14ac:dyDescent="0.25">
      <c r="A1466" s="48">
        <v>1465</v>
      </c>
      <c r="B1466" s="49" t="s">
        <v>2994</v>
      </c>
      <c r="C1466" s="49" t="s">
        <v>2995</v>
      </c>
      <c r="D1466" s="53" t="s">
        <v>64</v>
      </c>
      <c r="E1466" s="53" t="s">
        <v>186</v>
      </c>
      <c r="F1466" s="45">
        <f t="shared" si="192"/>
        <v>0</v>
      </c>
      <c r="G1466" s="58">
        <f t="shared" si="194"/>
        <v>0</v>
      </c>
    </row>
    <row r="1467" spans="1:7" ht="15.75" hidden="1" x14ac:dyDescent="0.25">
      <c r="A1467" s="48">
        <v>1466</v>
      </c>
      <c r="B1467" s="49" t="s">
        <v>2996</v>
      </c>
      <c r="C1467" s="49" t="s">
        <v>2997</v>
      </c>
      <c r="D1467" s="53" t="s">
        <v>47</v>
      </c>
      <c r="E1467" s="53" t="s">
        <v>56</v>
      </c>
      <c r="F1467" s="45">
        <f t="shared" ref="F1467:F1469" si="197">SUM($H1467:$P1467)</f>
        <v>0</v>
      </c>
      <c r="G1467" s="58">
        <f t="shared" si="194"/>
        <v>0</v>
      </c>
    </row>
    <row r="1468" spans="1:7" ht="15.75" hidden="1" x14ac:dyDescent="0.25">
      <c r="A1468" s="48">
        <v>1467</v>
      </c>
      <c r="B1468" s="49" t="s">
        <v>2998</v>
      </c>
      <c r="C1468" s="49" t="s">
        <v>2999</v>
      </c>
      <c r="D1468" s="53" t="s">
        <v>47</v>
      </c>
      <c r="E1468" s="53" t="s">
        <v>56</v>
      </c>
      <c r="F1468" s="45">
        <f t="shared" si="197"/>
        <v>0</v>
      </c>
      <c r="G1468" s="58">
        <f t="shared" si="194"/>
        <v>0</v>
      </c>
    </row>
    <row r="1469" spans="1:7" ht="15.75" hidden="1" x14ac:dyDescent="0.25">
      <c r="A1469" s="48">
        <v>1468</v>
      </c>
      <c r="B1469" s="49" t="s">
        <v>3000</v>
      </c>
      <c r="C1469" s="49" t="s">
        <v>3001</v>
      </c>
      <c r="D1469" s="53" t="s">
        <v>47</v>
      </c>
      <c r="E1469" s="53" t="s">
        <v>56</v>
      </c>
      <c r="F1469" s="45">
        <f t="shared" si="197"/>
        <v>0</v>
      </c>
      <c r="G1469" s="58">
        <f t="shared" si="194"/>
        <v>0</v>
      </c>
    </row>
    <row r="1470" spans="1:7" ht="15.75" hidden="1" x14ac:dyDescent="0.25">
      <c r="A1470" s="48">
        <v>1469</v>
      </c>
      <c r="B1470" s="49" t="s">
        <v>3002</v>
      </c>
      <c r="C1470" s="49" t="s">
        <v>3003</v>
      </c>
      <c r="D1470" s="53" t="s">
        <v>64</v>
      </c>
      <c r="E1470" s="53" t="s">
        <v>186</v>
      </c>
      <c r="F1470" s="45">
        <f t="shared" si="192"/>
        <v>0</v>
      </c>
      <c r="G1470" s="58">
        <f t="shared" si="194"/>
        <v>0</v>
      </c>
    </row>
    <row r="1471" spans="1:7" ht="15.75" hidden="1" x14ac:dyDescent="0.25">
      <c r="A1471" s="48">
        <v>1470</v>
      </c>
      <c r="B1471" s="49" t="s">
        <v>3004</v>
      </c>
      <c r="C1471" s="49" t="s">
        <v>3005</v>
      </c>
      <c r="D1471" s="53" t="s">
        <v>47</v>
      </c>
      <c r="E1471" s="53" t="s">
        <v>105</v>
      </c>
      <c r="F1471" s="45">
        <f t="shared" ref="F1471:F1473" si="198">SUM($H1471:$P1471)</f>
        <v>0</v>
      </c>
      <c r="G1471" s="58">
        <f t="shared" si="194"/>
        <v>0</v>
      </c>
    </row>
    <row r="1472" spans="1:7" ht="15.75" hidden="1" x14ac:dyDescent="0.25">
      <c r="A1472" s="48">
        <v>1471</v>
      </c>
      <c r="B1472" s="49" t="s">
        <v>3006</v>
      </c>
      <c r="C1472" s="49" t="s">
        <v>3007</v>
      </c>
      <c r="D1472" s="53" t="s">
        <v>47</v>
      </c>
      <c r="E1472" s="53" t="s">
        <v>56</v>
      </c>
      <c r="F1472" s="45">
        <f t="shared" si="198"/>
        <v>0</v>
      </c>
      <c r="G1472" s="58">
        <f t="shared" si="194"/>
        <v>0</v>
      </c>
    </row>
    <row r="1473" spans="1:7" ht="15.75" hidden="1" x14ac:dyDescent="0.25">
      <c r="A1473" s="48">
        <v>1472</v>
      </c>
      <c r="B1473" s="49" t="s">
        <v>3008</v>
      </c>
      <c r="C1473" s="49" t="s">
        <v>3009</v>
      </c>
      <c r="D1473" s="53" t="s">
        <v>47</v>
      </c>
      <c r="E1473" s="53" t="s">
        <v>48</v>
      </c>
      <c r="F1473" s="45">
        <f t="shared" si="198"/>
        <v>0</v>
      </c>
      <c r="G1473" s="58">
        <f t="shared" si="194"/>
        <v>0</v>
      </c>
    </row>
    <row r="1474" spans="1:7" ht="15.75" hidden="1" x14ac:dyDescent="0.25">
      <c r="A1474" s="48">
        <v>1473</v>
      </c>
      <c r="B1474" s="49" t="s">
        <v>3010</v>
      </c>
      <c r="C1474" s="49" t="s">
        <v>3011</v>
      </c>
      <c r="D1474" s="53" t="s">
        <v>64</v>
      </c>
      <c r="E1474" s="53" t="s">
        <v>186</v>
      </c>
      <c r="F1474" s="45">
        <f t="shared" si="192"/>
        <v>0</v>
      </c>
      <c r="G1474" s="58">
        <f t="shared" si="194"/>
        <v>0</v>
      </c>
    </row>
    <row r="1475" spans="1:7" ht="15.75" hidden="1" x14ac:dyDescent="0.25">
      <c r="A1475" s="48">
        <v>1474</v>
      </c>
      <c r="B1475" s="49" t="s">
        <v>3012</v>
      </c>
      <c r="C1475" s="49" t="s">
        <v>3013</v>
      </c>
      <c r="D1475" s="53" t="s">
        <v>64</v>
      </c>
      <c r="E1475" s="53" t="s">
        <v>186</v>
      </c>
      <c r="F1475" s="45">
        <f t="shared" ref="F1475:F1538" si="199">SUM($H1475:$K1475)</f>
        <v>0</v>
      </c>
      <c r="G1475" s="58">
        <f t="shared" si="194"/>
        <v>0</v>
      </c>
    </row>
    <row r="1476" spans="1:7" ht="15.75" hidden="1" x14ac:dyDescent="0.25">
      <c r="A1476" s="48">
        <v>1475</v>
      </c>
      <c r="B1476" s="49" t="s">
        <v>3014</v>
      </c>
      <c r="C1476" s="49" t="s">
        <v>3015</v>
      </c>
      <c r="D1476" s="53" t="s">
        <v>64</v>
      </c>
      <c r="E1476" s="53" t="s">
        <v>186</v>
      </c>
      <c r="F1476" s="45">
        <f t="shared" si="199"/>
        <v>0</v>
      </c>
      <c r="G1476" s="58">
        <f t="shared" si="194"/>
        <v>0</v>
      </c>
    </row>
    <row r="1477" spans="1:7" ht="15.75" hidden="1" x14ac:dyDescent="0.25">
      <c r="A1477" s="48">
        <v>1476</v>
      </c>
      <c r="B1477" s="49" t="s">
        <v>3016</v>
      </c>
      <c r="C1477" s="49" t="s">
        <v>3017</v>
      </c>
      <c r="D1477" s="53" t="s">
        <v>64</v>
      </c>
      <c r="E1477" s="53" t="s">
        <v>186</v>
      </c>
      <c r="F1477" s="45">
        <f t="shared" si="199"/>
        <v>0</v>
      </c>
      <c r="G1477" s="58">
        <f t="shared" si="194"/>
        <v>0</v>
      </c>
    </row>
    <row r="1478" spans="1:7" ht="15.75" hidden="1" x14ac:dyDescent="0.25">
      <c r="A1478" s="48">
        <v>1477</v>
      </c>
      <c r="B1478" s="49" t="s">
        <v>3018</v>
      </c>
      <c r="C1478" s="49" t="s">
        <v>3019</v>
      </c>
      <c r="D1478" s="53" t="s">
        <v>64</v>
      </c>
      <c r="E1478" s="53" t="s">
        <v>186</v>
      </c>
      <c r="F1478" s="45">
        <f t="shared" si="199"/>
        <v>0</v>
      </c>
      <c r="G1478" s="58">
        <f t="shared" si="194"/>
        <v>0</v>
      </c>
    </row>
    <row r="1479" spans="1:7" ht="15.75" hidden="1" x14ac:dyDescent="0.25">
      <c r="A1479" s="48">
        <v>1478</v>
      </c>
      <c r="B1479" s="49" t="s">
        <v>3020</v>
      </c>
      <c r="C1479" s="49" t="s">
        <v>3021</v>
      </c>
      <c r="D1479" s="53" t="s">
        <v>47</v>
      </c>
      <c r="E1479" s="53" t="s">
        <v>86</v>
      </c>
      <c r="F1479" s="45">
        <f t="shared" ref="F1479:F1481" si="200">SUM($H1479:$P1479)</f>
        <v>0</v>
      </c>
      <c r="G1479" s="58">
        <f t="shared" si="194"/>
        <v>0</v>
      </c>
    </row>
    <row r="1480" spans="1:7" ht="15.75" hidden="1" x14ac:dyDescent="0.25">
      <c r="A1480" s="48">
        <v>1479</v>
      </c>
      <c r="B1480" s="49" t="s">
        <v>3022</v>
      </c>
      <c r="C1480" s="49" t="s">
        <v>3023</v>
      </c>
      <c r="D1480" s="53" t="s">
        <v>47</v>
      </c>
      <c r="E1480" s="53" t="s">
        <v>86</v>
      </c>
      <c r="F1480" s="45">
        <f t="shared" si="200"/>
        <v>0</v>
      </c>
      <c r="G1480" s="58">
        <f t="shared" si="194"/>
        <v>0</v>
      </c>
    </row>
    <row r="1481" spans="1:7" ht="15.75" hidden="1" x14ac:dyDescent="0.25">
      <c r="A1481" s="48">
        <v>1480</v>
      </c>
      <c r="B1481" s="49" t="s">
        <v>3024</v>
      </c>
      <c r="C1481" s="49" t="s">
        <v>3025</v>
      </c>
      <c r="D1481" s="53" t="s">
        <v>47</v>
      </c>
      <c r="E1481" s="53" t="s">
        <v>86</v>
      </c>
      <c r="F1481" s="45">
        <f t="shared" si="200"/>
        <v>0</v>
      </c>
      <c r="G1481" s="58">
        <f t="shared" si="194"/>
        <v>0</v>
      </c>
    </row>
    <row r="1482" spans="1:7" ht="15.75" hidden="1" x14ac:dyDescent="0.25">
      <c r="A1482" s="48">
        <v>1481</v>
      </c>
      <c r="B1482" s="49" t="s">
        <v>3026</v>
      </c>
      <c r="C1482" s="49" t="s">
        <v>3027</v>
      </c>
      <c r="D1482" s="53" t="s">
        <v>64</v>
      </c>
      <c r="E1482" s="53" t="s">
        <v>186</v>
      </c>
      <c r="F1482" s="45">
        <f t="shared" si="199"/>
        <v>0</v>
      </c>
      <c r="G1482" s="58">
        <f t="shared" si="194"/>
        <v>0</v>
      </c>
    </row>
    <row r="1483" spans="1:7" ht="15.75" hidden="1" x14ac:dyDescent="0.25">
      <c r="A1483" s="48">
        <v>1482</v>
      </c>
      <c r="B1483" s="49" t="s">
        <v>3028</v>
      </c>
      <c r="C1483" s="49" t="s">
        <v>3029</v>
      </c>
      <c r="D1483" s="53" t="s">
        <v>64</v>
      </c>
      <c r="E1483" s="53" t="s">
        <v>186</v>
      </c>
      <c r="F1483" s="45">
        <f t="shared" si="199"/>
        <v>0</v>
      </c>
      <c r="G1483" s="58">
        <f t="shared" si="194"/>
        <v>0</v>
      </c>
    </row>
    <row r="1484" spans="1:7" ht="15.75" hidden="1" x14ac:dyDescent="0.25">
      <c r="A1484" s="48">
        <v>1483</v>
      </c>
      <c r="B1484" s="49" t="s">
        <v>3030</v>
      </c>
      <c r="C1484" s="49" t="s">
        <v>3031</v>
      </c>
      <c r="D1484" s="53" t="s">
        <v>64</v>
      </c>
      <c r="E1484" s="53" t="s">
        <v>186</v>
      </c>
      <c r="F1484" s="45">
        <f t="shared" si="199"/>
        <v>0</v>
      </c>
      <c r="G1484" s="58">
        <f t="shared" si="194"/>
        <v>0</v>
      </c>
    </row>
    <row r="1485" spans="1:7" ht="15.75" hidden="1" x14ac:dyDescent="0.25">
      <c r="A1485" s="48">
        <v>1484</v>
      </c>
      <c r="B1485" s="49" t="s">
        <v>3032</v>
      </c>
      <c r="C1485" s="49" t="s">
        <v>3033</v>
      </c>
      <c r="D1485" s="53" t="s">
        <v>64</v>
      </c>
      <c r="E1485" s="53" t="s">
        <v>186</v>
      </c>
      <c r="F1485" s="45">
        <f t="shared" si="199"/>
        <v>0</v>
      </c>
      <c r="G1485" s="58">
        <f t="shared" ref="G1485:G1548" si="201">F1485/60</f>
        <v>0</v>
      </c>
    </row>
    <row r="1486" spans="1:7" ht="15.75" hidden="1" x14ac:dyDescent="0.25">
      <c r="A1486" s="48">
        <v>1485</v>
      </c>
      <c r="B1486" s="49" t="s">
        <v>3034</v>
      </c>
      <c r="C1486" s="49" t="s">
        <v>3035</v>
      </c>
      <c r="D1486" s="53" t="s">
        <v>47</v>
      </c>
      <c r="E1486" s="53" t="s">
        <v>105</v>
      </c>
      <c r="F1486" s="45">
        <f t="shared" ref="F1486:F1487" si="202">SUM($H1486:$P1486)</f>
        <v>0</v>
      </c>
      <c r="G1486" s="58">
        <f t="shared" si="201"/>
        <v>0</v>
      </c>
    </row>
    <row r="1487" spans="1:7" ht="15.75" hidden="1" x14ac:dyDescent="0.25">
      <c r="A1487" s="48">
        <v>1486</v>
      </c>
      <c r="B1487" s="49" t="s">
        <v>3036</v>
      </c>
      <c r="C1487" s="49" t="s">
        <v>3037</v>
      </c>
      <c r="D1487" s="53" t="s">
        <v>47</v>
      </c>
      <c r="E1487" s="53" t="s">
        <v>86</v>
      </c>
      <c r="F1487" s="45">
        <f t="shared" si="202"/>
        <v>0</v>
      </c>
      <c r="G1487" s="58">
        <f t="shared" si="201"/>
        <v>0</v>
      </c>
    </row>
    <row r="1488" spans="1:7" ht="15.75" hidden="1" x14ac:dyDescent="0.25">
      <c r="A1488" s="48">
        <v>1487</v>
      </c>
      <c r="B1488" s="49" t="s">
        <v>3038</v>
      </c>
      <c r="C1488" s="49" t="s">
        <v>3039</v>
      </c>
      <c r="D1488" s="53" t="s">
        <v>64</v>
      </c>
      <c r="E1488" s="53" t="s">
        <v>65</v>
      </c>
      <c r="F1488" s="45">
        <f t="shared" si="199"/>
        <v>0</v>
      </c>
      <c r="G1488" s="58">
        <f t="shared" si="201"/>
        <v>0</v>
      </c>
    </row>
    <row r="1489" spans="1:7" ht="15.75" hidden="1" x14ac:dyDescent="0.25">
      <c r="A1489" s="48">
        <v>1488</v>
      </c>
      <c r="B1489" s="49" t="s">
        <v>3040</v>
      </c>
      <c r="C1489" s="49" t="s">
        <v>3041</v>
      </c>
      <c r="D1489" s="53" t="s">
        <v>64</v>
      </c>
      <c r="E1489" s="53" t="s">
        <v>186</v>
      </c>
      <c r="F1489" s="45">
        <f t="shared" si="199"/>
        <v>0</v>
      </c>
      <c r="G1489" s="58">
        <f t="shared" si="201"/>
        <v>0</v>
      </c>
    </row>
    <row r="1490" spans="1:7" ht="15.75" hidden="1" x14ac:dyDescent="0.25">
      <c r="A1490" s="48">
        <v>1489</v>
      </c>
      <c r="B1490" s="49" t="s">
        <v>3042</v>
      </c>
      <c r="C1490" s="49" t="s">
        <v>3043</v>
      </c>
      <c r="D1490" s="53" t="s">
        <v>64</v>
      </c>
      <c r="E1490" s="53" t="s">
        <v>186</v>
      </c>
      <c r="F1490" s="45">
        <f t="shared" si="199"/>
        <v>0</v>
      </c>
      <c r="G1490" s="58">
        <f t="shared" si="201"/>
        <v>0</v>
      </c>
    </row>
    <row r="1491" spans="1:7" ht="15.75" hidden="1" x14ac:dyDescent="0.25">
      <c r="A1491" s="48">
        <v>1490</v>
      </c>
      <c r="B1491" s="49" t="s">
        <v>3044</v>
      </c>
      <c r="C1491" s="49" t="s">
        <v>3045</v>
      </c>
      <c r="D1491" s="53" t="s">
        <v>64</v>
      </c>
      <c r="E1491" s="53" t="s">
        <v>186</v>
      </c>
      <c r="F1491" s="45">
        <f t="shared" si="199"/>
        <v>0</v>
      </c>
      <c r="G1491" s="58">
        <f t="shared" si="201"/>
        <v>0</v>
      </c>
    </row>
    <row r="1492" spans="1:7" ht="15.75" hidden="1" x14ac:dyDescent="0.25">
      <c r="A1492" s="48">
        <v>1491</v>
      </c>
      <c r="B1492" s="49" t="s">
        <v>3046</v>
      </c>
      <c r="C1492" s="49" t="s">
        <v>3047</v>
      </c>
      <c r="D1492" s="53" t="s">
        <v>64</v>
      </c>
      <c r="E1492" s="53" t="s">
        <v>186</v>
      </c>
      <c r="F1492" s="45">
        <f t="shared" si="199"/>
        <v>0</v>
      </c>
      <c r="G1492" s="58">
        <f t="shared" si="201"/>
        <v>0</v>
      </c>
    </row>
    <row r="1493" spans="1:7" ht="15.75" hidden="1" x14ac:dyDescent="0.25">
      <c r="A1493" s="48">
        <v>1492</v>
      </c>
      <c r="B1493" s="49" t="s">
        <v>3048</v>
      </c>
      <c r="C1493" s="49" t="s">
        <v>3049</v>
      </c>
      <c r="D1493" s="53" t="s">
        <v>47</v>
      </c>
      <c r="E1493" s="53" t="s">
        <v>86</v>
      </c>
      <c r="F1493" s="45">
        <f t="shared" ref="F1493:F1501" si="203">SUM($H1493:$P1493)</f>
        <v>0</v>
      </c>
      <c r="G1493" s="58">
        <f t="shared" si="201"/>
        <v>0</v>
      </c>
    </row>
    <row r="1494" spans="1:7" ht="15.75" hidden="1" x14ac:dyDescent="0.25">
      <c r="A1494" s="48">
        <v>1493</v>
      </c>
      <c r="B1494" s="49" t="s">
        <v>3050</v>
      </c>
      <c r="C1494" s="49" t="s">
        <v>3051</v>
      </c>
      <c r="D1494" s="53" t="s">
        <v>47</v>
      </c>
      <c r="E1494" s="53" t="s">
        <v>86</v>
      </c>
      <c r="F1494" s="45">
        <f t="shared" si="203"/>
        <v>0</v>
      </c>
      <c r="G1494" s="58">
        <f t="shared" si="201"/>
        <v>0</v>
      </c>
    </row>
    <row r="1495" spans="1:7" ht="15.75" hidden="1" x14ac:dyDescent="0.25">
      <c r="A1495" s="48">
        <v>1494</v>
      </c>
      <c r="B1495" s="49" t="s">
        <v>3052</v>
      </c>
      <c r="C1495" s="49" t="s">
        <v>3053</v>
      </c>
      <c r="D1495" s="53" t="s">
        <v>47</v>
      </c>
      <c r="E1495" s="53" t="s">
        <v>116</v>
      </c>
      <c r="F1495" s="45">
        <f t="shared" si="203"/>
        <v>0</v>
      </c>
      <c r="G1495" s="58">
        <f t="shared" si="201"/>
        <v>0</v>
      </c>
    </row>
    <row r="1496" spans="1:7" ht="15.75" hidden="1" x14ac:dyDescent="0.25">
      <c r="A1496" s="48">
        <v>1495</v>
      </c>
      <c r="B1496" s="49" t="s">
        <v>3054</v>
      </c>
      <c r="C1496" s="49" t="s">
        <v>3055</v>
      </c>
      <c r="D1496" s="53" t="s">
        <v>47</v>
      </c>
      <c r="E1496" s="53" t="s">
        <v>56</v>
      </c>
      <c r="F1496" s="45">
        <f t="shared" si="203"/>
        <v>0</v>
      </c>
      <c r="G1496" s="58">
        <f t="shared" si="201"/>
        <v>0</v>
      </c>
    </row>
    <row r="1497" spans="1:7" ht="15.75" hidden="1" x14ac:dyDescent="0.25">
      <c r="A1497" s="48">
        <v>1496</v>
      </c>
      <c r="B1497" s="49" t="s">
        <v>3056</v>
      </c>
      <c r="C1497" s="49" t="s">
        <v>3057</v>
      </c>
      <c r="D1497" s="53" t="s">
        <v>47</v>
      </c>
      <c r="E1497" s="53" t="s">
        <v>48</v>
      </c>
      <c r="F1497" s="45">
        <f t="shared" si="203"/>
        <v>0</v>
      </c>
      <c r="G1497" s="58">
        <f t="shared" si="201"/>
        <v>0</v>
      </c>
    </row>
    <row r="1498" spans="1:7" ht="15.75" hidden="1" x14ac:dyDescent="0.25">
      <c r="A1498" s="48">
        <v>1497</v>
      </c>
      <c r="B1498" s="49" t="s">
        <v>3058</v>
      </c>
      <c r="C1498" s="49" t="s">
        <v>3059</v>
      </c>
      <c r="D1498" s="53" t="s">
        <v>47</v>
      </c>
      <c r="E1498" s="53" t="s">
        <v>86</v>
      </c>
      <c r="F1498" s="45">
        <f t="shared" si="203"/>
        <v>0</v>
      </c>
      <c r="G1498" s="58">
        <f t="shared" si="201"/>
        <v>0</v>
      </c>
    </row>
    <row r="1499" spans="1:7" ht="15.75" hidden="1" x14ac:dyDescent="0.25">
      <c r="A1499" s="48">
        <v>1498</v>
      </c>
      <c r="B1499" s="49" t="s">
        <v>3060</v>
      </c>
      <c r="C1499" s="49" t="s">
        <v>3061</v>
      </c>
      <c r="D1499" s="53" t="s">
        <v>47</v>
      </c>
      <c r="E1499" s="53" t="s">
        <v>86</v>
      </c>
      <c r="F1499" s="45">
        <f t="shared" si="203"/>
        <v>0</v>
      </c>
      <c r="G1499" s="58">
        <f t="shared" si="201"/>
        <v>0</v>
      </c>
    </row>
    <row r="1500" spans="1:7" ht="15.75" hidden="1" x14ac:dyDescent="0.25">
      <c r="A1500" s="48">
        <v>1499</v>
      </c>
      <c r="B1500" s="49" t="s">
        <v>3062</v>
      </c>
      <c r="C1500" s="49" t="s">
        <v>3063</v>
      </c>
      <c r="D1500" s="53" t="s">
        <v>47</v>
      </c>
      <c r="E1500" s="53" t="s">
        <v>984</v>
      </c>
      <c r="F1500" s="45">
        <f t="shared" si="203"/>
        <v>0</v>
      </c>
      <c r="G1500" s="58">
        <f t="shared" si="201"/>
        <v>0</v>
      </c>
    </row>
    <row r="1501" spans="1:7" ht="15.75" hidden="1" x14ac:dyDescent="0.25">
      <c r="A1501" s="48">
        <v>1500</v>
      </c>
      <c r="B1501" s="49" t="s">
        <v>3064</v>
      </c>
      <c r="C1501" s="49" t="s">
        <v>3065</v>
      </c>
      <c r="D1501" s="53" t="s">
        <v>47</v>
      </c>
      <c r="E1501" s="53" t="s">
        <v>105</v>
      </c>
      <c r="F1501" s="45">
        <f t="shared" si="203"/>
        <v>0</v>
      </c>
      <c r="G1501" s="58">
        <f t="shared" si="201"/>
        <v>0</v>
      </c>
    </row>
    <row r="1502" spans="1:7" ht="15.75" hidden="1" x14ac:dyDescent="0.25">
      <c r="A1502" s="48">
        <v>1501</v>
      </c>
      <c r="B1502" s="49" t="s">
        <v>3066</v>
      </c>
      <c r="C1502" s="49" t="s">
        <v>3067</v>
      </c>
      <c r="D1502" s="53" t="s">
        <v>64</v>
      </c>
      <c r="E1502" s="53" t="s">
        <v>65</v>
      </c>
      <c r="F1502" s="45">
        <f t="shared" si="199"/>
        <v>0</v>
      </c>
      <c r="G1502" s="58">
        <f t="shared" si="201"/>
        <v>0</v>
      </c>
    </row>
    <row r="1503" spans="1:7" ht="15.75" hidden="1" x14ac:dyDescent="0.25">
      <c r="A1503" s="48">
        <v>1502</v>
      </c>
      <c r="B1503" s="49" t="s">
        <v>3068</v>
      </c>
      <c r="C1503" s="49" t="s">
        <v>3069</v>
      </c>
      <c r="D1503" s="53" t="s">
        <v>64</v>
      </c>
      <c r="E1503" s="53" t="s">
        <v>186</v>
      </c>
      <c r="F1503" s="45">
        <f t="shared" si="199"/>
        <v>0</v>
      </c>
      <c r="G1503" s="58">
        <f t="shared" si="201"/>
        <v>0</v>
      </c>
    </row>
    <row r="1504" spans="1:7" ht="15.75" hidden="1" x14ac:dyDescent="0.25">
      <c r="A1504" s="48">
        <v>1503</v>
      </c>
      <c r="B1504" s="49" t="s">
        <v>3070</v>
      </c>
      <c r="C1504" s="49" t="s">
        <v>3071</v>
      </c>
      <c r="D1504" s="53" t="s">
        <v>64</v>
      </c>
      <c r="E1504" s="53" t="s">
        <v>186</v>
      </c>
      <c r="F1504" s="45">
        <f t="shared" si="199"/>
        <v>0</v>
      </c>
      <c r="G1504" s="58">
        <f t="shared" si="201"/>
        <v>0</v>
      </c>
    </row>
    <row r="1505" spans="1:7" ht="15.75" hidden="1" x14ac:dyDescent="0.25">
      <c r="A1505" s="48">
        <v>1504</v>
      </c>
      <c r="B1505" s="49" t="s">
        <v>3072</v>
      </c>
      <c r="C1505" s="49" t="s">
        <v>3073</v>
      </c>
      <c r="D1505" s="53" t="s">
        <v>47</v>
      </c>
      <c r="E1505" s="53" t="s">
        <v>105</v>
      </c>
      <c r="F1505" s="45">
        <f>SUM($H1505:$P1505)</f>
        <v>0</v>
      </c>
      <c r="G1505" s="58">
        <f t="shared" si="201"/>
        <v>0</v>
      </c>
    </row>
    <row r="1506" spans="1:7" ht="15.75" hidden="1" x14ac:dyDescent="0.25">
      <c r="A1506" s="48">
        <v>1505</v>
      </c>
      <c r="B1506" s="49" t="s">
        <v>3074</v>
      </c>
      <c r="C1506" s="49" t="s">
        <v>3075</v>
      </c>
      <c r="D1506" s="53" t="s">
        <v>64</v>
      </c>
      <c r="E1506" s="53" t="s">
        <v>65</v>
      </c>
      <c r="F1506" s="45">
        <f t="shared" si="199"/>
        <v>0</v>
      </c>
      <c r="G1506" s="58">
        <f t="shared" si="201"/>
        <v>0</v>
      </c>
    </row>
    <row r="1507" spans="1:7" ht="15.75" hidden="1" x14ac:dyDescent="0.25">
      <c r="A1507" s="48">
        <v>1506</v>
      </c>
      <c r="B1507" s="49" t="s">
        <v>3076</v>
      </c>
      <c r="C1507" s="49" t="s">
        <v>3077</v>
      </c>
      <c r="D1507" s="53" t="s">
        <v>64</v>
      </c>
      <c r="E1507" s="53" t="s">
        <v>65</v>
      </c>
      <c r="F1507" s="45">
        <f t="shared" si="199"/>
        <v>0</v>
      </c>
      <c r="G1507" s="58">
        <f t="shared" si="201"/>
        <v>0</v>
      </c>
    </row>
    <row r="1508" spans="1:7" ht="15.75" hidden="1" x14ac:dyDescent="0.25">
      <c r="A1508" s="48">
        <v>1507</v>
      </c>
      <c r="B1508" s="49" t="s">
        <v>3078</v>
      </c>
      <c r="C1508" s="49" t="s">
        <v>3079</v>
      </c>
      <c r="D1508" s="53" t="s">
        <v>64</v>
      </c>
      <c r="E1508" s="53" t="s">
        <v>65</v>
      </c>
      <c r="F1508" s="45">
        <f t="shared" si="199"/>
        <v>0</v>
      </c>
      <c r="G1508" s="58">
        <f t="shared" si="201"/>
        <v>0</v>
      </c>
    </row>
    <row r="1509" spans="1:7" ht="15.75" hidden="1" x14ac:dyDescent="0.25">
      <c r="A1509" s="48">
        <v>1508</v>
      </c>
      <c r="B1509" s="49" t="s">
        <v>3080</v>
      </c>
      <c r="C1509" s="49" t="s">
        <v>3081</v>
      </c>
      <c r="D1509" s="53" t="s">
        <v>64</v>
      </c>
      <c r="E1509" s="53" t="s">
        <v>186</v>
      </c>
      <c r="F1509" s="45">
        <f t="shared" si="199"/>
        <v>0</v>
      </c>
      <c r="G1509" s="58">
        <f t="shared" si="201"/>
        <v>0</v>
      </c>
    </row>
    <row r="1510" spans="1:7" ht="15.75" hidden="1" x14ac:dyDescent="0.25">
      <c r="A1510" s="48">
        <v>1509</v>
      </c>
      <c r="B1510" s="49" t="s">
        <v>3082</v>
      </c>
      <c r="C1510" s="49" t="s">
        <v>3083</v>
      </c>
      <c r="D1510" s="53" t="s">
        <v>64</v>
      </c>
      <c r="E1510" s="53" t="s">
        <v>186</v>
      </c>
      <c r="F1510" s="45">
        <f t="shared" si="199"/>
        <v>0</v>
      </c>
      <c r="G1510" s="58">
        <f t="shared" si="201"/>
        <v>0</v>
      </c>
    </row>
    <row r="1511" spans="1:7" ht="15.75" hidden="1" x14ac:dyDescent="0.25">
      <c r="A1511" s="48">
        <v>1510</v>
      </c>
      <c r="B1511" s="49" t="s">
        <v>3084</v>
      </c>
      <c r="C1511" s="49" t="s">
        <v>3085</v>
      </c>
      <c r="D1511" s="53" t="s">
        <v>64</v>
      </c>
      <c r="E1511" s="53" t="s">
        <v>186</v>
      </c>
      <c r="F1511" s="45">
        <f t="shared" si="199"/>
        <v>0</v>
      </c>
      <c r="G1511" s="58">
        <f t="shared" si="201"/>
        <v>0</v>
      </c>
    </row>
    <row r="1512" spans="1:7" ht="15.75" hidden="1" x14ac:dyDescent="0.25">
      <c r="A1512" s="48">
        <v>1511</v>
      </c>
      <c r="B1512" s="49" t="s">
        <v>3086</v>
      </c>
      <c r="C1512" s="49" t="s">
        <v>3087</v>
      </c>
      <c r="D1512" s="53" t="s">
        <v>64</v>
      </c>
      <c r="E1512" s="53" t="s">
        <v>186</v>
      </c>
      <c r="F1512" s="45">
        <f t="shared" si="199"/>
        <v>0</v>
      </c>
      <c r="G1512" s="58">
        <f t="shared" si="201"/>
        <v>0</v>
      </c>
    </row>
    <row r="1513" spans="1:7" ht="15.75" hidden="1" x14ac:dyDescent="0.25">
      <c r="A1513" s="48">
        <v>1512</v>
      </c>
      <c r="B1513" s="49" t="s">
        <v>3088</v>
      </c>
      <c r="C1513" s="49" t="s">
        <v>3089</v>
      </c>
      <c r="D1513" s="53" t="s">
        <v>64</v>
      </c>
      <c r="E1513" s="53" t="s">
        <v>186</v>
      </c>
      <c r="F1513" s="45">
        <f t="shared" si="199"/>
        <v>0</v>
      </c>
      <c r="G1513" s="58">
        <f t="shared" si="201"/>
        <v>0</v>
      </c>
    </row>
    <row r="1514" spans="1:7" ht="15.75" hidden="1" x14ac:dyDescent="0.25">
      <c r="A1514" s="48">
        <v>1513</v>
      </c>
      <c r="B1514" s="49" t="s">
        <v>3090</v>
      </c>
      <c r="C1514" s="49" t="s">
        <v>3091</v>
      </c>
      <c r="D1514" s="53" t="s">
        <v>64</v>
      </c>
      <c r="E1514" s="53" t="s">
        <v>186</v>
      </c>
      <c r="F1514" s="45">
        <f t="shared" si="199"/>
        <v>0</v>
      </c>
      <c r="G1514" s="58">
        <f t="shared" si="201"/>
        <v>0</v>
      </c>
    </row>
    <row r="1515" spans="1:7" ht="15.75" hidden="1" x14ac:dyDescent="0.25">
      <c r="A1515" s="48">
        <v>1514</v>
      </c>
      <c r="B1515" s="49" t="s">
        <v>3092</v>
      </c>
      <c r="C1515" s="49" t="s">
        <v>3093</v>
      </c>
      <c r="D1515" s="53" t="s">
        <v>64</v>
      </c>
      <c r="E1515" s="53" t="s">
        <v>186</v>
      </c>
      <c r="F1515" s="45">
        <f t="shared" si="199"/>
        <v>0</v>
      </c>
      <c r="G1515" s="58">
        <f t="shared" si="201"/>
        <v>0</v>
      </c>
    </row>
    <row r="1516" spans="1:7" ht="15.75" hidden="1" x14ac:dyDescent="0.25">
      <c r="A1516" s="48">
        <v>1515</v>
      </c>
      <c r="B1516" s="49" t="s">
        <v>3094</v>
      </c>
      <c r="C1516" s="49" t="s">
        <v>3095</v>
      </c>
      <c r="D1516" s="53" t="s">
        <v>64</v>
      </c>
      <c r="E1516" s="53" t="s">
        <v>186</v>
      </c>
      <c r="F1516" s="45">
        <f t="shared" si="199"/>
        <v>0</v>
      </c>
      <c r="G1516" s="58">
        <f t="shared" si="201"/>
        <v>0</v>
      </c>
    </row>
    <row r="1517" spans="1:7" ht="15.75" hidden="1" x14ac:dyDescent="0.25">
      <c r="A1517" s="48">
        <v>1516</v>
      </c>
      <c r="B1517" s="49" t="s">
        <v>3096</v>
      </c>
      <c r="C1517" s="49" t="s">
        <v>3097</v>
      </c>
      <c r="D1517" s="53" t="s">
        <v>64</v>
      </c>
      <c r="E1517" s="53" t="s">
        <v>186</v>
      </c>
      <c r="F1517" s="45">
        <f t="shared" si="199"/>
        <v>0</v>
      </c>
      <c r="G1517" s="58">
        <f t="shared" si="201"/>
        <v>0</v>
      </c>
    </row>
    <row r="1518" spans="1:7" ht="15.75" hidden="1" x14ac:dyDescent="0.25">
      <c r="A1518" s="48">
        <v>1517</v>
      </c>
      <c r="B1518" s="49" t="s">
        <v>3098</v>
      </c>
      <c r="C1518" s="49" t="s">
        <v>3099</v>
      </c>
      <c r="D1518" s="53" t="s">
        <v>82</v>
      </c>
      <c r="E1518" s="53" t="s">
        <v>140</v>
      </c>
      <c r="F1518" s="45">
        <f t="shared" si="199"/>
        <v>0</v>
      </c>
      <c r="G1518" s="58">
        <f t="shared" si="201"/>
        <v>0</v>
      </c>
    </row>
    <row r="1519" spans="1:7" ht="15.75" hidden="1" x14ac:dyDescent="0.25">
      <c r="A1519" s="48">
        <v>1518</v>
      </c>
      <c r="B1519" s="49" t="s">
        <v>3100</v>
      </c>
      <c r="C1519" s="49" t="s">
        <v>3101</v>
      </c>
      <c r="D1519" s="53" t="s">
        <v>47</v>
      </c>
      <c r="E1519" s="53" t="s">
        <v>51</v>
      </c>
      <c r="F1519" s="45">
        <f t="shared" ref="F1519:F1521" si="204">SUM($H1519:$P1519)</f>
        <v>0</v>
      </c>
      <c r="G1519" s="58">
        <f t="shared" si="201"/>
        <v>0</v>
      </c>
    </row>
    <row r="1520" spans="1:7" ht="15.75" hidden="1" x14ac:dyDescent="0.25">
      <c r="A1520" s="48">
        <v>1519</v>
      </c>
      <c r="B1520" s="49" t="s">
        <v>3102</v>
      </c>
      <c r="C1520" s="49" t="s">
        <v>3103</v>
      </c>
      <c r="D1520" s="53" t="s">
        <v>47</v>
      </c>
      <c r="E1520" s="53" t="s">
        <v>48</v>
      </c>
      <c r="F1520" s="45">
        <f t="shared" si="204"/>
        <v>0</v>
      </c>
      <c r="G1520" s="58">
        <f t="shared" si="201"/>
        <v>0</v>
      </c>
    </row>
    <row r="1521" spans="1:7" ht="15.75" hidden="1" x14ac:dyDescent="0.25">
      <c r="A1521" s="48">
        <v>1520</v>
      </c>
      <c r="B1521" s="49" t="s">
        <v>3104</v>
      </c>
      <c r="C1521" s="49" t="s">
        <v>3105</v>
      </c>
      <c r="D1521" s="53" t="s">
        <v>47</v>
      </c>
      <c r="E1521" s="53" t="s">
        <v>86</v>
      </c>
      <c r="F1521" s="45">
        <f t="shared" si="204"/>
        <v>0</v>
      </c>
      <c r="G1521" s="58">
        <f t="shared" si="201"/>
        <v>0</v>
      </c>
    </row>
    <row r="1522" spans="1:7" ht="15.75" hidden="1" x14ac:dyDescent="0.25">
      <c r="A1522" s="48">
        <v>1521</v>
      </c>
      <c r="B1522" s="49" t="s">
        <v>3106</v>
      </c>
      <c r="C1522" s="49" t="s">
        <v>3107</v>
      </c>
      <c r="D1522" s="53" t="s">
        <v>64</v>
      </c>
      <c r="E1522" s="53" t="s">
        <v>186</v>
      </c>
      <c r="F1522" s="45">
        <f t="shared" si="199"/>
        <v>0</v>
      </c>
      <c r="G1522" s="58">
        <f t="shared" si="201"/>
        <v>0</v>
      </c>
    </row>
    <row r="1523" spans="1:7" ht="15.75" hidden="1" x14ac:dyDescent="0.25">
      <c r="A1523" s="48">
        <v>1522</v>
      </c>
      <c r="B1523" s="49" t="s">
        <v>3108</v>
      </c>
      <c r="C1523" s="49" t="s">
        <v>3109</v>
      </c>
      <c r="D1523" s="53" t="s">
        <v>64</v>
      </c>
      <c r="E1523" s="53" t="s">
        <v>186</v>
      </c>
      <c r="F1523" s="45">
        <f t="shared" si="199"/>
        <v>0</v>
      </c>
      <c r="G1523" s="58">
        <f t="shared" si="201"/>
        <v>0</v>
      </c>
    </row>
    <row r="1524" spans="1:7" ht="15.75" hidden="1" x14ac:dyDescent="0.25">
      <c r="A1524" s="48">
        <v>1523</v>
      </c>
      <c r="B1524" s="49" t="s">
        <v>3110</v>
      </c>
      <c r="C1524" s="49" t="s">
        <v>3111</v>
      </c>
      <c r="D1524" s="53" t="s">
        <v>64</v>
      </c>
      <c r="E1524" s="53" t="s">
        <v>186</v>
      </c>
      <c r="F1524" s="45">
        <f t="shared" si="199"/>
        <v>0</v>
      </c>
      <c r="G1524" s="58">
        <f t="shared" si="201"/>
        <v>0</v>
      </c>
    </row>
    <row r="1525" spans="1:7" ht="15.75" hidden="1" x14ac:dyDescent="0.25">
      <c r="A1525" s="48">
        <v>1524</v>
      </c>
      <c r="B1525" s="49" t="s">
        <v>3112</v>
      </c>
      <c r="C1525" s="49" t="s">
        <v>3113</v>
      </c>
      <c r="D1525" s="53" t="s">
        <v>47</v>
      </c>
      <c r="E1525" s="53" t="s">
        <v>48</v>
      </c>
      <c r="F1525" s="45">
        <f t="shared" ref="F1525:F1526" si="205">SUM($H1525:$P1525)</f>
        <v>0</v>
      </c>
      <c r="G1525" s="58">
        <f t="shared" si="201"/>
        <v>0</v>
      </c>
    </row>
    <row r="1526" spans="1:7" ht="15.75" hidden="1" x14ac:dyDescent="0.25">
      <c r="A1526" s="48">
        <v>1525</v>
      </c>
      <c r="B1526" s="49" t="s">
        <v>3114</v>
      </c>
      <c r="C1526" s="49" t="s">
        <v>3115</v>
      </c>
      <c r="D1526" s="53" t="s">
        <v>47</v>
      </c>
      <c r="E1526" s="53" t="s">
        <v>105</v>
      </c>
      <c r="F1526" s="45">
        <f t="shared" si="205"/>
        <v>0</v>
      </c>
      <c r="G1526" s="58">
        <f t="shared" si="201"/>
        <v>0</v>
      </c>
    </row>
    <row r="1527" spans="1:7" ht="15.75" hidden="1" x14ac:dyDescent="0.25">
      <c r="A1527" s="48">
        <v>1526</v>
      </c>
      <c r="B1527" s="49" t="s">
        <v>3116</v>
      </c>
      <c r="C1527" s="49" t="s">
        <v>3117</v>
      </c>
      <c r="D1527" s="53" t="s">
        <v>64</v>
      </c>
      <c r="E1527" s="53" t="s">
        <v>186</v>
      </c>
      <c r="F1527" s="45">
        <f t="shared" si="199"/>
        <v>0</v>
      </c>
      <c r="G1527" s="58">
        <f t="shared" si="201"/>
        <v>0</v>
      </c>
    </row>
    <row r="1528" spans="1:7" ht="15.75" hidden="1" x14ac:dyDescent="0.25">
      <c r="A1528" s="48">
        <v>1527</v>
      </c>
      <c r="B1528" s="49" t="s">
        <v>3118</v>
      </c>
      <c r="C1528" s="49" t="s">
        <v>3119</v>
      </c>
      <c r="D1528" s="53" t="s">
        <v>47</v>
      </c>
      <c r="E1528" s="53" t="s">
        <v>86</v>
      </c>
      <c r="F1528" s="45">
        <f>SUM($H1528:$P1528)</f>
        <v>0</v>
      </c>
      <c r="G1528" s="58">
        <f t="shared" si="201"/>
        <v>0</v>
      </c>
    </row>
    <row r="1529" spans="1:7" ht="15.75" hidden="1" x14ac:dyDescent="0.25">
      <c r="A1529" s="48">
        <v>1528</v>
      </c>
      <c r="B1529" s="49" t="s">
        <v>3120</v>
      </c>
      <c r="C1529" s="49" t="s">
        <v>3121</v>
      </c>
      <c r="D1529" s="53" t="s">
        <v>64</v>
      </c>
      <c r="E1529" s="53" t="s">
        <v>186</v>
      </c>
      <c r="F1529" s="45">
        <f t="shared" si="199"/>
        <v>0</v>
      </c>
      <c r="G1529" s="58">
        <f t="shared" si="201"/>
        <v>0</v>
      </c>
    </row>
    <row r="1530" spans="1:7" ht="15.75" hidden="1" x14ac:dyDescent="0.25">
      <c r="A1530" s="48">
        <v>1529</v>
      </c>
      <c r="B1530" s="49" t="s">
        <v>3122</v>
      </c>
      <c r="C1530" s="49" t="s">
        <v>3123</v>
      </c>
      <c r="D1530" s="53" t="s">
        <v>64</v>
      </c>
      <c r="E1530" s="53" t="s">
        <v>186</v>
      </c>
      <c r="F1530" s="45">
        <f t="shared" si="199"/>
        <v>0</v>
      </c>
      <c r="G1530" s="58">
        <f t="shared" si="201"/>
        <v>0</v>
      </c>
    </row>
    <row r="1531" spans="1:7" ht="15.75" hidden="1" x14ac:dyDescent="0.25">
      <c r="A1531" s="48">
        <v>1530</v>
      </c>
      <c r="B1531" s="49" t="s">
        <v>3124</v>
      </c>
      <c r="C1531" s="49" t="s">
        <v>3125</v>
      </c>
      <c r="D1531" s="53" t="s">
        <v>64</v>
      </c>
      <c r="E1531" s="53" t="s">
        <v>186</v>
      </c>
      <c r="F1531" s="45">
        <f t="shared" si="199"/>
        <v>0</v>
      </c>
      <c r="G1531" s="58">
        <f t="shared" si="201"/>
        <v>0</v>
      </c>
    </row>
    <row r="1532" spans="1:7" ht="15.75" hidden="1" x14ac:dyDescent="0.25">
      <c r="A1532" s="48">
        <v>1531</v>
      </c>
      <c r="B1532" s="49" t="s">
        <v>3126</v>
      </c>
      <c r="C1532" s="49" t="s">
        <v>3127</v>
      </c>
      <c r="D1532" s="53" t="s">
        <v>64</v>
      </c>
      <c r="E1532" s="53" t="s">
        <v>186</v>
      </c>
      <c r="F1532" s="45">
        <f t="shared" si="199"/>
        <v>0</v>
      </c>
      <c r="G1532" s="58">
        <f t="shared" si="201"/>
        <v>0</v>
      </c>
    </row>
    <row r="1533" spans="1:7" ht="15.75" hidden="1" x14ac:dyDescent="0.25">
      <c r="A1533" s="48">
        <v>1532</v>
      </c>
      <c r="B1533" s="49" t="s">
        <v>3128</v>
      </c>
      <c r="C1533" s="49" t="s">
        <v>3129</v>
      </c>
      <c r="D1533" s="53" t="s">
        <v>64</v>
      </c>
      <c r="E1533" s="53" t="s">
        <v>65</v>
      </c>
      <c r="F1533" s="45">
        <f t="shared" si="199"/>
        <v>0</v>
      </c>
      <c r="G1533" s="58">
        <f t="shared" si="201"/>
        <v>0</v>
      </c>
    </row>
    <row r="1534" spans="1:7" ht="15.75" hidden="1" x14ac:dyDescent="0.25">
      <c r="A1534" s="48">
        <v>1533</v>
      </c>
      <c r="B1534" s="49" t="s">
        <v>3130</v>
      </c>
      <c r="C1534" s="49" t="s">
        <v>3131</v>
      </c>
      <c r="D1534" s="53" t="s">
        <v>47</v>
      </c>
      <c r="E1534" s="53" t="s">
        <v>86</v>
      </c>
      <c r="F1534" s="45">
        <f t="shared" ref="F1534:F1537" si="206">SUM($H1534:$P1534)</f>
        <v>0</v>
      </c>
      <c r="G1534" s="58">
        <f t="shared" si="201"/>
        <v>0</v>
      </c>
    </row>
    <row r="1535" spans="1:7" ht="15.75" hidden="1" x14ac:dyDescent="0.25">
      <c r="A1535" s="48">
        <v>1534</v>
      </c>
      <c r="B1535" s="49" t="s">
        <v>3132</v>
      </c>
      <c r="C1535" s="49" t="s">
        <v>3133</v>
      </c>
      <c r="D1535" s="53" t="s">
        <v>47</v>
      </c>
      <c r="E1535" s="53" t="s">
        <v>86</v>
      </c>
      <c r="F1535" s="45">
        <f t="shared" si="206"/>
        <v>0</v>
      </c>
      <c r="G1535" s="58">
        <f t="shared" si="201"/>
        <v>0</v>
      </c>
    </row>
    <row r="1536" spans="1:7" ht="15.75" hidden="1" x14ac:dyDescent="0.25">
      <c r="A1536" s="48">
        <v>1535</v>
      </c>
      <c r="B1536" s="49" t="s">
        <v>3134</v>
      </c>
      <c r="C1536" s="49" t="s">
        <v>3135</v>
      </c>
      <c r="D1536" s="53" t="s">
        <v>47</v>
      </c>
      <c r="E1536" s="53" t="s">
        <v>86</v>
      </c>
      <c r="F1536" s="45">
        <f t="shared" si="206"/>
        <v>0</v>
      </c>
      <c r="G1536" s="58">
        <f t="shared" si="201"/>
        <v>0</v>
      </c>
    </row>
    <row r="1537" spans="1:7" ht="15.75" hidden="1" x14ac:dyDescent="0.25">
      <c r="A1537" s="48">
        <v>1536</v>
      </c>
      <c r="B1537" s="49" t="s">
        <v>3136</v>
      </c>
      <c r="C1537" s="49" t="s">
        <v>3137</v>
      </c>
      <c r="D1537" s="53" t="s">
        <v>47</v>
      </c>
      <c r="E1537" s="53" t="s">
        <v>56</v>
      </c>
      <c r="F1537" s="45">
        <f t="shared" si="206"/>
        <v>0</v>
      </c>
      <c r="G1537" s="58">
        <f t="shared" si="201"/>
        <v>0</v>
      </c>
    </row>
    <row r="1538" spans="1:7" ht="15.75" hidden="1" x14ac:dyDescent="0.25">
      <c r="A1538" s="48">
        <v>1537</v>
      </c>
      <c r="B1538" s="49" t="s">
        <v>3138</v>
      </c>
      <c r="C1538" s="49" t="s">
        <v>3139</v>
      </c>
      <c r="D1538" s="53" t="s">
        <v>64</v>
      </c>
      <c r="E1538" s="53" t="s">
        <v>186</v>
      </c>
      <c r="F1538" s="45">
        <f t="shared" si="199"/>
        <v>0</v>
      </c>
      <c r="G1538" s="58">
        <f t="shared" si="201"/>
        <v>0</v>
      </c>
    </row>
    <row r="1539" spans="1:7" ht="15.75" hidden="1" x14ac:dyDescent="0.25">
      <c r="A1539" s="48">
        <v>1538</v>
      </c>
      <c r="B1539" s="49" t="s">
        <v>3140</v>
      </c>
      <c r="C1539" s="49" t="s">
        <v>3141</v>
      </c>
      <c r="D1539" s="53" t="s">
        <v>47</v>
      </c>
      <c r="E1539" s="53" t="s">
        <v>105</v>
      </c>
      <c r="F1539" s="45">
        <f>SUM($H1539:$P1539)</f>
        <v>0</v>
      </c>
      <c r="G1539" s="58">
        <f t="shared" si="201"/>
        <v>0</v>
      </c>
    </row>
    <row r="1540" spans="1:7" ht="15.75" hidden="1" x14ac:dyDescent="0.25">
      <c r="A1540" s="48">
        <v>1539</v>
      </c>
      <c r="B1540" s="49" t="s">
        <v>3142</v>
      </c>
      <c r="C1540" s="49" t="s">
        <v>3143</v>
      </c>
      <c r="D1540" s="53" t="s">
        <v>64</v>
      </c>
      <c r="E1540" s="53" t="s">
        <v>186</v>
      </c>
      <c r="F1540" s="45">
        <f t="shared" ref="F1540:F1602" si="207">SUM($H1540:$K1540)</f>
        <v>0</v>
      </c>
      <c r="G1540" s="58">
        <f t="shared" si="201"/>
        <v>0</v>
      </c>
    </row>
    <row r="1541" spans="1:7" ht="15.75" hidden="1" x14ac:dyDescent="0.25">
      <c r="A1541" s="48">
        <v>1540</v>
      </c>
      <c r="B1541" s="49" t="s">
        <v>3144</v>
      </c>
      <c r="C1541" s="49" t="s">
        <v>3145</v>
      </c>
      <c r="D1541" s="53" t="s">
        <v>64</v>
      </c>
      <c r="E1541" s="53" t="s">
        <v>186</v>
      </c>
      <c r="F1541" s="45">
        <f t="shared" si="207"/>
        <v>0</v>
      </c>
      <c r="G1541" s="58">
        <f t="shared" si="201"/>
        <v>0</v>
      </c>
    </row>
    <row r="1542" spans="1:7" ht="15.75" hidden="1" x14ac:dyDescent="0.25">
      <c r="A1542" s="48">
        <v>1541</v>
      </c>
      <c r="B1542" s="49" t="s">
        <v>3146</v>
      </c>
      <c r="C1542" s="49" t="s">
        <v>3147</v>
      </c>
      <c r="D1542" s="53" t="s">
        <v>47</v>
      </c>
      <c r="E1542" s="53" t="s">
        <v>56</v>
      </c>
      <c r="F1542" s="45">
        <f>SUM($H1542:$P1542)</f>
        <v>0</v>
      </c>
      <c r="G1542" s="58">
        <f t="shared" si="201"/>
        <v>0</v>
      </c>
    </row>
    <row r="1543" spans="1:7" ht="15.75" hidden="1" x14ac:dyDescent="0.25">
      <c r="A1543" s="48">
        <v>1542</v>
      </c>
      <c r="B1543" s="49" t="s">
        <v>3148</v>
      </c>
      <c r="C1543" s="49" t="s">
        <v>3149</v>
      </c>
      <c r="D1543" s="53" t="s">
        <v>64</v>
      </c>
      <c r="E1543" s="53" t="s">
        <v>186</v>
      </c>
      <c r="F1543" s="45">
        <f t="shared" si="207"/>
        <v>0</v>
      </c>
      <c r="G1543" s="58">
        <f t="shared" si="201"/>
        <v>0</v>
      </c>
    </row>
    <row r="1544" spans="1:7" ht="15.75" hidden="1" x14ac:dyDescent="0.25">
      <c r="A1544" s="48">
        <v>1543</v>
      </c>
      <c r="B1544" s="49" t="s">
        <v>3150</v>
      </c>
      <c r="C1544" s="49" t="s">
        <v>3151</v>
      </c>
      <c r="D1544" s="53" t="s">
        <v>64</v>
      </c>
      <c r="E1544" s="53" t="s">
        <v>186</v>
      </c>
      <c r="F1544" s="45">
        <f t="shared" si="207"/>
        <v>0</v>
      </c>
      <c r="G1544" s="58">
        <f t="shared" si="201"/>
        <v>0</v>
      </c>
    </row>
    <row r="1545" spans="1:7" ht="15.75" hidden="1" x14ac:dyDescent="0.25">
      <c r="A1545" s="48">
        <v>1544</v>
      </c>
      <c r="B1545" s="49" t="s">
        <v>3152</v>
      </c>
      <c r="C1545" s="49" t="s">
        <v>3153</v>
      </c>
      <c r="D1545" s="53" t="s">
        <v>47</v>
      </c>
      <c r="E1545" s="53" t="s">
        <v>56</v>
      </c>
      <c r="F1545" s="45">
        <f t="shared" ref="F1545:F1548" si="208">SUM($H1545:$P1545)</f>
        <v>0</v>
      </c>
      <c r="G1545" s="58">
        <f t="shared" si="201"/>
        <v>0</v>
      </c>
    </row>
    <row r="1546" spans="1:7" ht="15.75" hidden="1" x14ac:dyDescent="0.25">
      <c r="A1546" s="48">
        <v>1545</v>
      </c>
      <c r="B1546" s="49" t="s">
        <v>3154</v>
      </c>
      <c r="C1546" s="49" t="s">
        <v>3155</v>
      </c>
      <c r="D1546" s="53" t="s">
        <v>47</v>
      </c>
      <c r="E1546" s="53" t="s">
        <v>116</v>
      </c>
      <c r="F1546" s="45">
        <f t="shared" si="208"/>
        <v>0</v>
      </c>
      <c r="G1546" s="58">
        <f t="shared" si="201"/>
        <v>0</v>
      </c>
    </row>
    <row r="1547" spans="1:7" ht="15.75" hidden="1" x14ac:dyDescent="0.25">
      <c r="A1547" s="48">
        <v>1546</v>
      </c>
      <c r="B1547" s="49" t="s">
        <v>3156</v>
      </c>
      <c r="C1547" s="49" t="s">
        <v>3157</v>
      </c>
      <c r="D1547" s="53" t="s">
        <v>47</v>
      </c>
      <c r="E1547" s="53" t="s">
        <v>56</v>
      </c>
      <c r="F1547" s="45">
        <f t="shared" si="208"/>
        <v>0</v>
      </c>
      <c r="G1547" s="58">
        <f t="shared" si="201"/>
        <v>0</v>
      </c>
    </row>
    <row r="1548" spans="1:7" ht="15.75" hidden="1" x14ac:dyDescent="0.25">
      <c r="A1548" s="48">
        <v>1547</v>
      </c>
      <c r="B1548" s="49" t="s">
        <v>3158</v>
      </c>
      <c r="C1548" s="49" t="s">
        <v>3159</v>
      </c>
      <c r="D1548" s="53" t="s">
        <v>47</v>
      </c>
      <c r="E1548" s="53" t="s">
        <v>56</v>
      </c>
      <c r="F1548" s="45">
        <f t="shared" si="208"/>
        <v>0</v>
      </c>
      <c r="G1548" s="58">
        <f t="shared" si="201"/>
        <v>0</v>
      </c>
    </row>
    <row r="1549" spans="1:7" ht="15.75" hidden="1" x14ac:dyDescent="0.25">
      <c r="A1549" s="48">
        <v>1548</v>
      </c>
      <c r="B1549" s="49" t="s">
        <v>3160</v>
      </c>
      <c r="C1549" s="49" t="s">
        <v>3161</v>
      </c>
      <c r="D1549" s="53" t="s">
        <v>64</v>
      </c>
      <c r="E1549" s="53" t="s">
        <v>186</v>
      </c>
      <c r="F1549" s="45">
        <f t="shared" si="207"/>
        <v>0</v>
      </c>
      <c r="G1549" s="58">
        <f t="shared" ref="G1549:G1612" si="209">F1549/60</f>
        <v>0</v>
      </c>
    </row>
    <row r="1550" spans="1:7" ht="15.75" hidden="1" x14ac:dyDescent="0.25">
      <c r="A1550" s="48">
        <v>1549</v>
      </c>
      <c r="B1550" s="49" t="s">
        <v>3162</v>
      </c>
      <c r="C1550" s="49" t="s">
        <v>3163</v>
      </c>
      <c r="D1550" s="53" t="s">
        <v>47</v>
      </c>
      <c r="E1550" s="53" t="s">
        <v>116</v>
      </c>
      <c r="F1550" s="45">
        <f t="shared" ref="F1550:F1558" si="210">SUM($H1550:$P1550)</f>
        <v>0</v>
      </c>
      <c r="G1550" s="58">
        <f t="shared" si="209"/>
        <v>0</v>
      </c>
    </row>
    <row r="1551" spans="1:7" ht="15.75" hidden="1" x14ac:dyDescent="0.25">
      <c r="A1551" s="48">
        <v>1550</v>
      </c>
      <c r="B1551" s="49" t="s">
        <v>3164</v>
      </c>
      <c r="C1551" s="49" t="s">
        <v>3165</v>
      </c>
      <c r="D1551" s="53" t="s">
        <v>47</v>
      </c>
      <c r="E1551" s="53" t="s">
        <v>86</v>
      </c>
      <c r="F1551" s="45">
        <f t="shared" si="210"/>
        <v>0</v>
      </c>
      <c r="G1551" s="58">
        <f t="shared" si="209"/>
        <v>0</v>
      </c>
    </row>
    <row r="1552" spans="1:7" ht="15.75" hidden="1" x14ac:dyDescent="0.25">
      <c r="A1552" s="48">
        <v>1551</v>
      </c>
      <c r="B1552" s="49" t="s">
        <v>3166</v>
      </c>
      <c r="C1552" s="49" t="s">
        <v>3167</v>
      </c>
      <c r="D1552" s="53" t="s">
        <v>47</v>
      </c>
      <c r="E1552" s="53" t="s">
        <v>86</v>
      </c>
      <c r="F1552" s="45">
        <f t="shared" si="210"/>
        <v>0</v>
      </c>
      <c r="G1552" s="58">
        <f t="shared" si="209"/>
        <v>0</v>
      </c>
    </row>
    <row r="1553" spans="1:7" ht="15.75" hidden="1" x14ac:dyDescent="0.25">
      <c r="A1553" s="48">
        <v>1552</v>
      </c>
      <c r="B1553" s="49" t="s">
        <v>3168</v>
      </c>
      <c r="C1553" s="49" t="s">
        <v>3169</v>
      </c>
      <c r="D1553" s="53" t="s">
        <v>47</v>
      </c>
      <c r="E1553" s="53" t="s">
        <v>86</v>
      </c>
      <c r="F1553" s="45">
        <f t="shared" si="210"/>
        <v>0</v>
      </c>
      <c r="G1553" s="58">
        <f t="shared" si="209"/>
        <v>0</v>
      </c>
    </row>
    <row r="1554" spans="1:7" ht="15.75" hidden="1" x14ac:dyDescent="0.25">
      <c r="A1554" s="48">
        <v>1553</v>
      </c>
      <c r="B1554" s="49" t="s">
        <v>3170</v>
      </c>
      <c r="C1554" s="49" t="s">
        <v>3171</v>
      </c>
      <c r="D1554" s="53" t="s">
        <v>47</v>
      </c>
      <c r="E1554" s="53" t="s">
        <v>105</v>
      </c>
      <c r="F1554" s="45">
        <f t="shared" si="210"/>
        <v>0</v>
      </c>
      <c r="G1554" s="58">
        <f t="shared" si="209"/>
        <v>0</v>
      </c>
    </row>
    <row r="1555" spans="1:7" ht="15.75" hidden="1" x14ac:dyDescent="0.25">
      <c r="A1555" s="48">
        <v>1554</v>
      </c>
      <c r="B1555" s="49" t="s">
        <v>3172</v>
      </c>
      <c r="C1555" s="49" t="s">
        <v>3173</v>
      </c>
      <c r="D1555" s="53" t="s">
        <v>47</v>
      </c>
      <c r="E1555" s="53" t="s">
        <v>105</v>
      </c>
      <c r="F1555" s="45">
        <f t="shared" si="210"/>
        <v>0</v>
      </c>
      <c r="G1555" s="58">
        <f t="shared" si="209"/>
        <v>0</v>
      </c>
    </row>
    <row r="1556" spans="1:7" ht="15.75" hidden="1" x14ac:dyDescent="0.25">
      <c r="A1556" s="48">
        <v>1555</v>
      </c>
      <c r="B1556" s="49" t="s">
        <v>3174</v>
      </c>
      <c r="C1556" s="49" t="s">
        <v>3175</v>
      </c>
      <c r="D1556" s="53" t="s">
        <v>47</v>
      </c>
      <c r="E1556" s="53" t="s">
        <v>116</v>
      </c>
      <c r="F1556" s="45">
        <f t="shared" si="210"/>
        <v>0</v>
      </c>
      <c r="G1556" s="58">
        <f t="shared" si="209"/>
        <v>0</v>
      </c>
    </row>
    <row r="1557" spans="1:7" ht="15.75" hidden="1" x14ac:dyDescent="0.25">
      <c r="A1557" s="48">
        <v>1556</v>
      </c>
      <c r="B1557" s="49" t="s">
        <v>3176</v>
      </c>
      <c r="C1557" s="49" t="s">
        <v>3177</v>
      </c>
      <c r="D1557" s="53" t="s">
        <v>47</v>
      </c>
      <c r="E1557" s="53" t="s">
        <v>86</v>
      </c>
      <c r="F1557" s="45">
        <f t="shared" si="210"/>
        <v>0</v>
      </c>
      <c r="G1557" s="58">
        <f t="shared" si="209"/>
        <v>0</v>
      </c>
    </row>
    <row r="1558" spans="1:7" ht="15.75" hidden="1" x14ac:dyDescent="0.25">
      <c r="A1558" s="48">
        <v>1557</v>
      </c>
      <c r="B1558" s="49" t="s">
        <v>3178</v>
      </c>
      <c r="C1558" s="49" t="s">
        <v>3179</v>
      </c>
      <c r="D1558" s="53" t="s">
        <v>47</v>
      </c>
      <c r="E1558" s="53" t="s">
        <v>86</v>
      </c>
      <c r="F1558" s="45">
        <f t="shared" si="210"/>
        <v>0</v>
      </c>
      <c r="G1558" s="58">
        <f t="shared" si="209"/>
        <v>0</v>
      </c>
    </row>
    <row r="1559" spans="1:7" ht="15.75" hidden="1" x14ac:dyDescent="0.25">
      <c r="A1559" s="48">
        <v>1558</v>
      </c>
      <c r="B1559" s="49" t="s">
        <v>3180</v>
      </c>
      <c r="C1559" s="49" t="s">
        <v>3181</v>
      </c>
      <c r="D1559" s="53" t="s">
        <v>64</v>
      </c>
      <c r="E1559" s="53" t="s">
        <v>65</v>
      </c>
      <c r="F1559" s="45">
        <f t="shared" si="207"/>
        <v>0</v>
      </c>
      <c r="G1559" s="58">
        <f t="shared" si="209"/>
        <v>0</v>
      </c>
    </row>
    <row r="1560" spans="1:7" ht="15.75" hidden="1" x14ac:dyDescent="0.25">
      <c r="A1560" s="48">
        <v>1559</v>
      </c>
      <c r="B1560" s="49" t="s">
        <v>3182</v>
      </c>
      <c r="C1560" s="49" t="s">
        <v>3183</v>
      </c>
      <c r="D1560" s="53" t="s">
        <v>64</v>
      </c>
      <c r="E1560" s="53" t="s">
        <v>186</v>
      </c>
      <c r="F1560" s="45">
        <f t="shared" si="207"/>
        <v>0</v>
      </c>
      <c r="G1560" s="58">
        <f t="shared" si="209"/>
        <v>0</v>
      </c>
    </row>
    <row r="1561" spans="1:7" ht="15.75" hidden="1" x14ac:dyDescent="0.25">
      <c r="A1561" s="48">
        <v>1560</v>
      </c>
      <c r="B1561" s="49" t="s">
        <v>3184</v>
      </c>
      <c r="C1561" s="49" t="s">
        <v>3185</v>
      </c>
      <c r="D1561" s="53" t="s">
        <v>64</v>
      </c>
      <c r="E1561" s="53" t="s">
        <v>186</v>
      </c>
      <c r="F1561" s="45">
        <f t="shared" si="207"/>
        <v>0</v>
      </c>
      <c r="G1561" s="58">
        <f t="shared" si="209"/>
        <v>0</v>
      </c>
    </row>
    <row r="1562" spans="1:7" ht="15.75" hidden="1" x14ac:dyDescent="0.25">
      <c r="A1562" s="48">
        <v>1561</v>
      </c>
      <c r="B1562" s="49" t="s">
        <v>3186</v>
      </c>
      <c r="C1562" s="49" t="s">
        <v>3187</v>
      </c>
      <c r="D1562" s="53" t="s">
        <v>64</v>
      </c>
      <c r="E1562" s="53" t="s">
        <v>186</v>
      </c>
      <c r="F1562" s="45">
        <f t="shared" si="207"/>
        <v>0</v>
      </c>
      <c r="G1562" s="58">
        <f t="shared" si="209"/>
        <v>0</v>
      </c>
    </row>
    <row r="1563" spans="1:7" ht="15.75" hidden="1" x14ac:dyDescent="0.25">
      <c r="A1563" s="48">
        <v>1562</v>
      </c>
      <c r="B1563" s="49" t="s">
        <v>3188</v>
      </c>
      <c r="C1563" s="49" t="s">
        <v>3189</v>
      </c>
      <c r="D1563" s="53" t="s">
        <v>64</v>
      </c>
      <c r="E1563" s="53" t="s">
        <v>186</v>
      </c>
      <c r="F1563" s="45">
        <f t="shared" si="207"/>
        <v>0</v>
      </c>
      <c r="G1563" s="58">
        <f t="shared" si="209"/>
        <v>0</v>
      </c>
    </row>
    <row r="1564" spans="1:7" ht="15.75" hidden="1" x14ac:dyDescent="0.25">
      <c r="A1564" s="48">
        <v>1563</v>
      </c>
      <c r="B1564" s="49" t="s">
        <v>3190</v>
      </c>
      <c r="C1564" s="49" t="s">
        <v>3191</v>
      </c>
      <c r="D1564" s="53" t="s">
        <v>64</v>
      </c>
      <c r="E1564" s="53" t="s">
        <v>186</v>
      </c>
      <c r="F1564" s="45">
        <f t="shared" si="207"/>
        <v>0</v>
      </c>
      <c r="G1564" s="58">
        <f t="shared" si="209"/>
        <v>0</v>
      </c>
    </row>
    <row r="1565" spans="1:7" ht="15.75" hidden="1" x14ac:dyDescent="0.25">
      <c r="A1565" s="48">
        <v>1564</v>
      </c>
      <c r="B1565" s="49" t="s">
        <v>3192</v>
      </c>
      <c r="C1565" s="49" t="s">
        <v>3193</v>
      </c>
      <c r="D1565" s="53" t="s">
        <v>64</v>
      </c>
      <c r="E1565" s="53" t="s">
        <v>186</v>
      </c>
      <c r="F1565" s="45">
        <f t="shared" si="207"/>
        <v>0</v>
      </c>
      <c r="G1565" s="58">
        <f t="shared" si="209"/>
        <v>0</v>
      </c>
    </row>
    <row r="1566" spans="1:7" ht="15.75" hidden="1" x14ac:dyDescent="0.25">
      <c r="A1566" s="48">
        <v>1565</v>
      </c>
      <c r="B1566" s="49" t="s">
        <v>3194</v>
      </c>
      <c r="C1566" s="49" t="s">
        <v>3195</v>
      </c>
      <c r="D1566" s="53" t="s">
        <v>64</v>
      </c>
      <c r="E1566" s="53" t="s">
        <v>186</v>
      </c>
      <c r="F1566" s="45">
        <f t="shared" si="207"/>
        <v>0</v>
      </c>
      <c r="G1566" s="58">
        <f t="shared" si="209"/>
        <v>0</v>
      </c>
    </row>
    <row r="1567" spans="1:7" ht="15.75" hidden="1" x14ac:dyDescent="0.25">
      <c r="A1567" s="48">
        <v>1566</v>
      </c>
      <c r="B1567" s="49" t="s">
        <v>3196</v>
      </c>
      <c r="C1567" s="49" t="s">
        <v>3197</v>
      </c>
      <c r="D1567" s="53" t="s">
        <v>64</v>
      </c>
      <c r="E1567" s="53" t="s">
        <v>186</v>
      </c>
      <c r="F1567" s="45">
        <f t="shared" si="207"/>
        <v>0</v>
      </c>
      <c r="G1567" s="58">
        <f t="shared" si="209"/>
        <v>0</v>
      </c>
    </row>
    <row r="1568" spans="1:7" ht="15.75" hidden="1" x14ac:dyDescent="0.25">
      <c r="A1568" s="48">
        <v>1567</v>
      </c>
      <c r="B1568" s="49" t="s">
        <v>3198</v>
      </c>
      <c r="C1568" s="49" t="s">
        <v>3199</v>
      </c>
      <c r="D1568" s="53" t="s">
        <v>47</v>
      </c>
      <c r="E1568" s="53" t="s">
        <v>105</v>
      </c>
      <c r="F1568" s="45">
        <f t="shared" ref="F1568:F1579" si="211">SUM($H1568:$P1568)</f>
        <v>0</v>
      </c>
      <c r="G1568" s="58">
        <f t="shared" si="209"/>
        <v>0</v>
      </c>
    </row>
    <row r="1569" spans="1:7" ht="15.75" hidden="1" x14ac:dyDescent="0.25">
      <c r="A1569" s="48">
        <v>1568</v>
      </c>
      <c r="B1569" s="49" t="s">
        <v>3200</v>
      </c>
      <c r="C1569" s="49" t="s">
        <v>3201</v>
      </c>
      <c r="D1569" s="53" t="s">
        <v>47</v>
      </c>
      <c r="E1569" s="53" t="s">
        <v>105</v>
      </c>
      <c r="F1569" s="45">
        <f t="shared" si="211"/>
        <v>0</v>
      </c>
      <c r="G1569" s="58">
        <f t="shared" si="209"/>
        <v>0</v>
      </c>
    </row>
    <row r="1570" spans="1:7" ht="15.75" hidden="1" x14ac:dyDescent="0.25">
      <c r="A1570" s="48">
        <v>1569</v>
      </c>
      <c r="B1570" s="49" t="s">
        <v>3202</v>
      </c>
      <c r="C1570" s="49" t="s">
        <v>3203</v>
      </c>
      <c r="D1570" s="53" t="s">
        <v>47</v>
      </c>
      <c r="E1570" s="53" t="s">
        <v>105</v>
      </c>
      <c r="F1570" s="45">
        <f t="shared" si="211"/>
        <v>0</v>
      </c>
      <c r="G1570" s="58">
        <f t="shared" si="209"/>
        <v>0</v>
      </c>
    </row>
    <row r="1571" spans="1:7" ht="15.75" hidden="1" x14ac:dyDescent="0.25">
      <c r="A1571" s="48">
        <v>1570</v>
      </c>
      <c r="B1571" s="49" t="s">
        <v>3204</v>
      </c>
      <c r="C1571" s="49" t="s">
        <v>1877</v>
      </c>
      <c r="D1571" s="53" t="s">
        <v>47</v>
      </c>
      <c r="E1571" s="53" t="s">
        <v>105</v>
      </c>
      <c r="F1571" s="45">
        <f t="shared" si="211"/>
        <v>0</v>
      </c>
      <c r="G1571" s="58">
        <f t="shared" si="209"/>
        <v>0</v>
      </c>
    </row>
    <row r="1572" spans="1:7" ht="15.75" hidden="1" x14ac:dyDescent="0.25">
      <c r="A1572" s="48">
        <v>1571</v>
      </c>
      <c r="B1572" s="49" t="s">
        <v>3205</v>
      </c>
      <c r="C1572" s="49" t="s">
        <v>3206</v>
      </c>
      <c r="D1572" s="53" t="s">
        <v>47</v>
      </c>
      <c r="E1572" s="53" t="s">
        <v>105</v>
      </c>
      <c r="F1572" s="45">
        <f t="shared" si="211"/>
        <v>0</v>
      </c>
      <c r="G1572" s="58">
        <f t="shared" si="209"/>
        <v>0</v>
      </c>
    </row>
    <row r="1573" spans="1:7" ht="15.75" hidden="1" x14ac:dyDescent="0.25">
      <c r="A1573" s="48">
        <v>1572</v>
      </c>
      <c r="B1573" s="49" t="s">
        <v>3207</v>
      </c>
      <c r="C1573" s="49" t="s">
        <v>3208</v>
      </c>
      <c r="D1573" s="53" t="s">
        <v>47</v>
      </c>
      <c r="E1573" s="53" t="s">
        <v>116</v>
      </c>
      <c r="F1573" s="45">
        <f t="shared" si="211"/>
        <v>0</v>
      </c>
      <c r="G1573" s="58">
        <f t="shared" si="209"/>
        <v>0</v>
      </c>
    </row>
    <row r="1574" spans="1:7" ht="15.75" hidden="1" x14ac:dyDescent="0.25">
      <c r="A1574" s="48">
        <v>1573</v>
      </c>
      <c r="B1574" s="49" t="s">
        <v>3209</v>
      </c>
      <c r="C1574" s="49" t="s">
        <v>3210</v>
      </c>
      <c r="D1574" s="53" t="s">
        <v>47</v>
      </c>
      <c r="E1574" s="53" t="s">
        <v>56</v>
      </c>
      <c r="F1574" s="45">
        <f t="shared" si="211"/>
        <v>0</v>
      </c>
      <c r="G1574" s="58">
        <f t="shared" si="209"/>
        <v>0</v>
      </c>
    </row>
    <row r="1575" spans="1:7" ht="15.75" hidden="1" x14ac:dyDescent="0.25">
      <c r="A1575" s="48">
        <v>1574</v>
      </c>
      <c r="B1575" s="49" t="s">
        <v>3211</v>
      </c>
      <c r="C1575" s="49" t="s">
        <v>3212</v>
      </c>
      <c r="D1575" s="53" t="s">
        <v>47</v>
      </c>
      <c r="E1575" s="53" t="s">
        <v>56</v>
      </c>
      <c r="F1575" s="45">
        <f t="shared" si="211"/>
        <v>0</v>
      </c>
      <c r="G1575" s="58">
        <f t="shared" si="209"/>
        <v>0</v>
      </c>
    </row>
    <row r="1576" spans="1:7" ht="15.75" hidden="1" x14ac:dyDescent="0.25">
      <c r="A1576" s="48">
        <v>1575</v>
      </c>
      <c r="B1576" s="49" t="s">
        <v>3213</v>
      </c>
      <c r="C1576" s="49" t="s">
        <v>3214</v>
      </c>
      <c r="D1576" s="53" t="s">
        <v>47</v>
      </c>
      <c r="E1576" s="53" t="s">
        <v>51</v>
      </c>
      <c r="F1576" s="45">
        <f t="shared" si="211"/>
        <v>0</v>
      </c>
      <c r="G1576" s="58">
        <f t="shared" si="209"/>
        <v>0</v>
      </c>
    </row>
    <row r="1577" spans="1:7" ht="15.75" hidden="1" x14ac:dyDescent="0.25">
      <c r="A1577" s="48">
        <v>1576</v>
      </c>
      <c r="B1577" s="49" t="s">
        <v>3215</v>
      </c>
      <c r="C1577" s="49" t="s">
        <v>3216</v>
      </c>
      <c r="D1577" s="53" t="s">
        <v>47</v>
      </c>
      <c r="E1577" s="53" t="s">
        <v>48</v>
      </c>
      <c r="F1577" s="45">
        <f t="shared" si="211"/>
        <v>0</v>
      </c>
      <c r="G1577" s="58">
        <f t="shared" si="209"/>
        <v>0</v>
      </c>
    </row>
    <row r="1578" spans="1:7" ht="15.75" hidden="1" x14ac:dyDescent="0.25">
      <c r="A1578" s="48">
        <v>1577</v>
      </c>
      <c r="B1578" s="49" t="s">
        <v>3217</v>
      </c>
      <c r="C1578" s="49" t="s">
        <v>3218</v>
      </c>
      <c r="D1578" s="53" t="s">
        <v>47</v>
      </c>
      <c r="E1578" s="53" t="s">
        <v>86</v>
      </c>
      <c r="F1578" s="45">
        <f t="shared" si="211"/>
        <v>0</v>
      </c>
      <c r="G1578" s="58">
        <f t="shared" si="209"/>
        <v>0</v>
      </c>
    </row>
    <row r="1579" spans="1:7" ht="15.75" hidden="1" x14ac:dyDescent="0.25">
      <c r="A1579" s="48">
        <v>1578</v>
      </c>
      <c r="B1579" s="49" t="s">
        <v>3219</v>
      </c>
      <c r="C1579" s="49" t="s">
        <v>3220</v>
      </c>
      <c r="D1579" s="53" t="s">
        <v>47</v>
      </c>
      <c r="E1579" s="53" t="s">
        <v>56</v>
      </c>
      <c r="F1579" s="45">
        <f t="shared" si="211"/>
        <v>0</v>
      </c>
      <c r="G1579" s="58">
        <f t="shared" si="209"/>
        <v>0</v>
      </c>
    </row>
    <row r="1580" spans="1:7" ht="15.75" hidden="1" x14ac:dyDescent="0.25">
      <c r="A1580" s="48">
        <v>1579</v>
      </c>
      <c r="B1580" s="49" t="s">
        <v>3221</v>
      </c>
      <c r="C1580" s="49" t="s">
        <v>3222</v>
      </c>
      <c r="D1580" s="53" t="s">
        <v>64</v>
      </c>
      <c r="E1580" s="53" t="s">
        <v>186</v>
      </c>
      <c r="F1580" s="45">
        <f t="shared" si="207"/>
        <v>0</v>
      </c>
      <c r="G1580" s="58">
        <f t="shared" si="209"/>
        <v>0</v>
      </c>
    </row>
    <row r="1581" spans="1:7" ht="15.75" hidden="1" x14ac:dyDescent="0.25">
      <c r="A1581" s="48">
        <v>1580</v>
      </c>
      <c r="B1581" s="49" t="s">
        <v>3223</v>
      </c>
      <c r="C1581" s="49" t="s">
        <v>3224</v>
      </c>
      <c r="D1581" s="53" t="s">
        <v>64</v>
      </c>
      <c r="E1581" s="53" t="s">
        <v>65</v>
      </c>
      <c r="F1581" s="45">
        <f t="shared" si="207"/>
        <v>0</v>
      </c>
      <c r="G1581" s="58">
        <f t="shared" si="209"/>
        <v>0</v>
      </c>
    </row>
    <row r="1582" spans="1:7" ht="15.75" hidden="1" x14ac:dyDescent="0.25">
      <c r="A1582" s="48">
        <v>1581</v>
      </c>
      <c r="B1582" s="49" t="s">
        <v>3225</v>
      </c>
      <c r="C1582" s="49" t="s">
        <v>3226</v>
      </c>
      <c r="D1582" s="53" t="s">
        <v>64</v>
      </c>
      <c r="E1582" s="53" t="s">
        <v>186</v>
      </c>
      <c r="F1582" s="45">
        <f t="shared" si="207"/>
        <v>0</v>
      </c>
      <c r="G1582" s="58">
        <f t="shared" si="209"/>
        <v>0</v>
      </c>
    </row>
    <row r="1583" spans="1:7" ht="15.75" hidden="1" x14ac:dyDescent="0.25">
      <c r="A1583" s="48">
        <v>1582</v>
      </c>
      <c r="B1583" s="49" t="s">
        <v>3227</v>
      </c>
      <c r="C1583" s="49" t="s">
        <v>3228</v>
      </c>
      <c r="D1583" s="53" t="s">
        <v>64</v>
      </c>
      <c r="E1583" s="53" t="s">
        <v>186</v>
      </c>
      <c r="F1583" s="45">
        <f t="shared" si="207"/>
        <v>0</v>
      </c>
      <c r="G1583" s="58">
        <f t="shared" si="209"/>
        <v>0</v>
      </c>
    </row>
    <row r="1584" spans="1:7" ht="15.75" hidden="1" x14ac:dyDescent="0.25">
      <c r="A1584" s="48">
        <v>1583</v>
      </c>
      <c r="B1584" s="49" t="s">
        <v>3229</v>
      </c>
      <c r="C1584" s="49" t="s">
        <v>3230</v>
      </c>
      <c r="D1584" s="53" t="s">
        <v>64</v>
      </c>
      <c r="E1584" s="53" t="s">
        <v>186</v>
      </c>
      <c r="F1584" s="45">
        <f t="shared" si="207"/>
        <v>0</v>
      </c>
      <c r="G1584" s="58">
        <f t="shared" si="209"/>
        <v>0</v>
      </c>
    </row>
    <row r="1585" spans="1:7" ht="15.75" hidden="1" x14ac:dyDescent="0.25">
      <c r="A1585" s="48">
        <v>1584</v>
      </c>
      <c r="B1585" s="49" t="s">
        <v>3231</v>
      </c>
      <c r="C1585" s="49" t="s">
        <v>3232</v>
      </c>
      <c r="D1585" s="53" t="s">
        <v>64</v>
      </c>
      <c r="E1585" s="53" t="s">
        <v>186</v>
      </c>
      <c r="F1585" s="45">
        <f t="shared" si="207"/>
        <v>0</v>
      </c>
      <c r="G1585" s="58">
        <f t="shared" si="209"/>
        <v>0</v>
      </c>
    </row>
    <row r="1586" spans="1:7" ht="15.75" hidden="1" x14ac:dyDescent="0.25">
      <c r="A1586" s="48">
        <v>1585</v>
      </c>
      <c r="B1586" s="49" t="s">
        <v>3233</v>
      </c>
      <c r="C1586" s="49" t="s">
        <v>3234</v>
      </c>
      <c r="D1586" s="53" t="s">
        <v>64</v>
      </c>
      <c r="E1586" s="53" t="s">
        <v>186</v>
      </c>
      <c r="F1586" s="45">
        <f t="shared" si="207"/>
        <v>0</v>
      </c>
      <c r="G1586" s="58">
        <f t="shared" si="209"/>
        <v>0</v>
      </c>
    </row>
    <row r="1587" spans="1:7" ht="15.75" hidden="1" x14ac:dyDescent="0.25">
      <c r="A1587" s="48">
        <v>1586</v>
      </c>
      <c r="B1587" s="49" t="s">
        <v>3235</v>
      </c>
      <c r="C1587" s="49" t="s">
        <v>3236</v>
      </c>
      <c r="D1587" s="53" t="s">
        <v>64</v>
      </c>
      <c r="E1587" s="53" t="s">
        <v>186</v>
      </c>
      <c r="F1587" s="45">
        <f t="shared" si="207"/>
        <v>0</v>
      </c>
      <c r="G1587" s="58">
        <f t="shared" si="209"/>
        <v>0</v>
      </c>
    </row>
    <row r="1588" spans="1:7" ht="15.75" hidden="1" x14ac:dyDescent="0.25">
      <c r="A1588" s="48">
        <v>1587</v>
      </c>
      <c r="B1588" s="49" t="s">
        <v>3237</v>
      </c>
      <c r="C1588" s="49" t="s">
        <v>3238</v>
      </c>
      <c r="D1588" s="53" t="s">
        <v>64</v>
      </c>
      <c r="E1588" s="53" t="s">
        <v>186</v>
      </c>
      <c r="F1588" s="45">
        <f t="shared" si="207"/>
        <v>0</v>
      </c>
      <c r="G1588" s="58">
        <f t="shared" si="209"/>
        <v>0</v>
      </c>
    </row>
    <row r="1589" spans="1:7" ht="15.75" hidden="1" x14ac:dyDescent="0.25">
      <c r="A1589" s="48">
        <v>1588</v>
      </c>
      <c r="B1589" s="49" t="s">
        <v>3239</v>
      </c>
      <c r="C1589" s="49" t="s">
        <v>3240</v>
      </c>
      <c r="D1589" s="53" t="s">
        <v>64</v>
      </c>
      <c r="E1589" s="53" t="s">
        <v>186</v>
      </c>
      <c r="F1589" s="45">
        <f t="shared" si="207"/>
        <v>0</v>
      </c>
      <c r="G1589" s="58">
        <f t="shared" si="209"/>
        <v>0</v>
      </c>
    </row>
    <row r="1590" spans="1:7" ht="15.75" hidden="1" x14ac:dyDescent="0.25">
      <c r="A1590" s="48">
        <v>1589</v>
      </c>
      <c r="B1590" s="49" t="s">
        <v>3241</v>
      </c>
      <c r="C1590" s="49" t="s">
        <v>3242</v>
      </c>
      <c r="D1590" s="53" t="s">
        <v>64</v>
      </c>
      <c r="E1590" s="53" t="s">
        <v>186</v>
      </c>
      <c r="F1590" s="45">
        <f t="shared" si="207"/>
        <v>0</v>
      </c>
      <c r="G1590" s="58">
        <f t="shared" si="209"/>
        <v>0</v>
      </c>
    </row>
    <row r="1591" spans="1:7" ht="15.75" hidden="1" x14ac:dyDescent="0.25">
      <c r="A1591" s="48">
        <v>1590</v>
      </c>
      <c r="B1591" s="49" t="s">
        <v>3243</v>
      </c>
      <c r="C1591" s="49" t="s">
        <v>3244</v>
      </c>
      <c r="D1591" s="53" t="s">
        <v>64</v>
      </c>
      <c r="E1591" s="53" t="s">
        <v>186</v>
      </c>
      <c r="F1591" s="45">
        <f t="shared" si="207"/>
        <v>0</v>
      </c>
      <c r="G1591" s="58">
        <f t="shared" si="209"/>
        <v>0</v>
      </c>
    </row>
    <row r="1592" spans="1:7" ht="15.75" hidden="1" x14ac:dyDescent="0.25">
      <c r="A1592" s="48">
        <v>1591</v>
      </c>
      <c r="B1592" s="49" t="s">
        <v>3245</v>
      </c>
      <c r="C1592" s="49" t="s">
        <v>3246</v>
      </c>
      <c r="D1592" s="53" t="s">
        <v>64</v>
      </c>
      <c r="E1592" s="53" t="s">
        <v>186</v>
      </c>
      <c r="F1592" s="45">
        <f t="shared" si="207"/>
        <v>0</v>
      </c>
      <c r="G1592" s="58">
        <f t="shared" si="209"/>
        <v>0</v>
      </c>
    </row>
    <row r="1593" spans="1:7" ht="15.75" hidden="1" x14ac:dyDescent="0.25">
      <c r="A1593" s="48">
        <v>1592</v>
      </c>
      <c r="B1593" s="49" t="s">
        <v>3247</v>
      </c>
      <c r="C1593" s="49" t="s">
        <v>3248</v>
      </c>
      <c r="D1593" s="53" t="s">
        <v>64</v>
      </c>
      <c r="E1593" s="53" t="s">
        <v>186</v>
      </c>
      <c r="F1593" s="45">
        <f t="shared" si="207"/>
        <v>0</v>
      </c>
      <c r="G1593" s="58">
        <f t="shared" si="209"/>
        <v>0</v>
      </c>
    </row>
    <row r="1594" spans="1:7" ht="15.75" hidden="1" x14ac:dyDescent="0.25">
      <c r="A1594" s="48">
        <v>1593</v>
      </c>
      <c r="B1594" s="49" t="s">
        <v>3249</v>
      </c>
      <c r="C1594" s="49" t="s">
        <v>3250</v>
      </c>
      <c r="D1594" s="53" t="s">
        <v>64</v>
      </c>
      <c r="E1594" s="53" t="s">
        <v>186</v>
      </c>
      <c r="F1594" s="45">
        <f t="shared" si="207"/>
        <v>0</v>
      </c>
      <c r="G1594" s="58">
        <f t="shared" si="209"/>
        <v>0</v>
      </c>
    </row>
    <row r="1595" spans="1:7" ht="15.75" hidden="1" x14ac:dyDescent="0.25">
      <c r="A1595" s="48">
        <v>1594</v>
      </c>
      <c r="B1595" s="49" t="s">
        <v>3251</v>
      </c>
      <c r="C1595" s="49" t="s">
        <v>3252</v>
      </c>
      <c r="D1595" s="53" t="s">
        <v>64</v>
      </c>
      <c r="E1595" s="53" t="s">
        <v>186</v>
      </c>
      <c r="F1595" s="45">
        <f t="shared" si="207"/>
        <v>0</v>
      </c>
      <c r="G1595" s="58">
        <f t="shared" si="209"/>
        <v>0</v>
      </c>
    </row>
    <row r="1596" spans="1:7" ht="15.75" hidden="1" x14ac:dyDescent="0.25">
      <c r="A1596" s="48">
        <v>1595</v>
      </c>
      <c r="B1596" s="49" t="s">
        <v>3253</v>
      </c>
      <c r="C1596" s="49" t="s">
        <v>3254</v>
      </c>
      <c r="D1596" s="53" t="s">
        <v>64</v>
      </c>
      <c r="E1596" s="53" t="s">
        <v>186</v>
      </c>
      <c r="F1596" s="45">
        <f t="shared" si="207"/>
        <v>0</v>
      </c>
      <c r="G1596" s="58">
        <f t="shared" si="209"/>
        <v>0</v>
      </c>
    </row>
    <row r="1597" spans="1:7" ht="15.75" hidden="1" x14ac:dyDescent="0.25">
      <c r="A1597" s="48">
        <v>1596</v>
      </c>
      <c r="B1597" s="49" t="s">
        <v>3255</v>
      </c>
      <c r="C1597" s="49"/>
      <c r="D1597" s="53" t="s">
        <v>64</v>
      </c>
      <c r="E1597" s="53" t="s">
        <v>186</v>
      </c>
      <c r="F1597" s="45">
        <f t="shared" si="207"/>
        <v>0</v>
      </c>
      <c r="G1597" s="58">
        <f t="shared" si="209"/>
        <v>0</v>
      </c>
    </row>
    <row r="1598" spans="1:7" ht="15.75" hidden="1" x14ac:dyDescent="0.25">
      <c r="A1598" s="48">
        <v>1597</v>
      </c>
      <c r="B1598" s="49" t="s">
        <v>3256</v>
      </c>
      <c r="C1598" s="49"/>
      <c r="D1598" s="53" t="s">
        <v>64</v>
      </c>
      <c r="E1598" s="53" t="s">
        <v>186</v>
      </c>
      <c r="F1598" s="45">
        <f t="shared" si="207"/>
        <v>0</v>
      </c>
      <c r="G1598" s="58">
        <f t="shared" si="209"/>
        <v>0</v>
      </c>
    </row>
    <row r="1599" spans="1:7" ht="15.75" hidden="1" x14ac:dyDescent="0.25">
      <c r="A1599" s="48">
        <v>1598</v>
      </c>
      <c r="B1599" s="49" t="s">
        <v>3257</v>
      </c>
      <c r="C1599" s="49"/>
      <c r="D1599" s="53" t="s">
        <v>64</v>
      </c>
      <c r="E1599" s="53" t="s">
        <v>186</v>
      </c>
      <c r="F1599" s="45">
        <f t="shared" si="207"/>
        <v>0</v>
      </c>
      <c r="G1599" s="58">
        <f t="shared" si="209"/>
        <v>0</v>
      </c>
    </row>
    <row r="1600" spans="1:7" ht="15.75" hidden="1" x14ac:dyDescent="0.25">
      <c r="A1600" s="48">
        <v>1599</v>
      </c>
      <c r="B1600" s="49" t="s">
        <v>3258</v>
      </c>
      <c r="C1600" s="49" t="s">
        <v>3259</v>
      </c>
      <c r="D1600" s="53" t="s">
        <v>47</v>
      </c>
      <c r="E1600" s="53" t="s">
        <v>79</v>
      </c>
      <c r="F1600" s="45">
        <f t="shared" ref="F1600:F1601" si="212">SUM($H1600:$P1600)</f>
        <v>0</v>
      </c>
      <c r="G1600" s="58">
        <f t="shared" si="209"/>
        <v>0</v>
      </c>
    </row>
    <row r="1601" spans="1:7" ht="15.75" hidden="1" x14ac:dyDescent="0.25">
      <c r="A1601" s="48">
        <v>1600</v>
      </c>
      <c r="B1601" s="49" t="s">
        <v>3260</v>
      </c>
      <c r="C1601" s="49" t="s">
        <v>3261</v>
      </c>
      <c r="D1601" s="53" t="s">
        <v>47</v>
      </c>
      <c r="E1601" s="53" t="s">
        <v>51</v>
      </c>
      <c r="F1601" s="45">
        <f t="shared" si="212"/>
        <v>0</v>
      </c>
      <c r="G1601" s="58">
        <f t="shared" si="209"/>
        <v>0</v>
      </c>
    </row>
    <row r="1602" spans="1:7" ht="15.75" hidden="1" x14ac:dyDescent="0.25">
      <c r="A1602" s="48">
        <v>1601</v>
      </c>
      <c r="B1602" s="49" t="s">
        <v>3262</v>
      </c>
      <c r="C1602" s="49" t="s">
        <v>3263</v>
      </c>
      <c r="D1602" s="53" t="s">
        <v>64</v>
      </c>
      <c r="E1602" s="53" t="s">
        <v>65</v>
      </c>
      <c r="F1602" s="45">
        <f t="shared" si="207"/>
        <v>0</v>
      </c>
      <c r="G1602" s="58">
        <f t="shared" si="209"/>
        <v>0</v>
      </c>
    </row>
    <row r="1603" spans="1:7" ht="15.75" hidden="1" x14ac:dyDescent="0.25">
      <c r="A1603" s="48">
        <v>1602</v>
      </c>
      <c r="B1603" s="49" t="s">
        <v>3264</v>
      </c>
      <c r="C1603" s="49" t="s">
        <v>3265</v>
      </c>
      <c r="D1603" s="53" t="s">
        <v>64</v>
      </c>
      <c r="E1603" s="53" t="s">
        <v>186</v>
      </c>
      <c r="F1603" s="45">
        <f t="shared" ref="F1603:F1665" si="213">SUM($H1603:$K1603)</f>
        <v>0</v>
      </c>
      <c r="G1603" s="58">
        <f t="shared" si="209"/>
        <v>0</v>
      </c>
    </row>
    <row r="1604" spans="1:7" ht="15.75" hidden="1" x14ac:dyDescent="0.25">
      <c r="A1604" s="48">
        <v>1603</v>
      </c>
      <c r="B1604" s="49" t="s">
        <v>3266</v>
      </c>
      <c r="C1604" s="49" t="s">
        <v>3267</v>
      </c>
      <c r="D1604" s="53" t="s">
        <v>64</v>
      </c>
      <c r="E1604" s="53" t="s">
        <v>186</v>
      </c>
      <c r="F1604" s="45">
        <f t="shared" si="213"/>
        <v>0</v>
      </c>
      <c r="G1604" s="58">
        <f t="shared" si="209"/>
        <v>0</v>
      </c>
    </row>
    <row r="1605" spans="1:7" ht="15.75" hidden="1" x14ac:dyDescent="0.25">
      <c r="A1605" s="48">
        <v>1604</v>
      </c>
      <c r="B1605" s="49" t="s">
        <v>3268</v>
      </c>
      <c r="C1605" s="49"/>
      <c r="D1605" s="53" t="s">
        <v>47</v>
      </c>
      <c r="E1605" s="53" t="s">
        <v>48</v>
      </c>
      <c r="F1605" s="45">
        <f t="shared" ref="F1605:F1611" si="214">SUM($H1605:$P1605)</f>
        <v>0</v>
      </c>
      <c r="G1605" s="58">
        <f t="shared" si="209"/>
        <v>0</v>
      </c>
    </row>
    <row r="1606" spans="1:7" ht="15.75" hidden="1" x14ac:dyDescent="0.25">
      <c r="A1606" s="48">
        <v>1605</v>
      </c>
      <c r="B1606" s="49" t="s">
        <v>3269</v>
      </c>
      <c r="C1606" s="49"/>
      <c r="D1606" s="53" t="s">
        <v>47</v>
      </c>
      <c r="E1606" s="53" t="s">
        <v>48</v>
      </c>
      <c r="F1606" s="45">
        <f t="shared" si="214"/>
        <v>0</v>
      </c>
      <c r="G1606" s="58">
        <f t="shared" si="209"/>
        <v>0</v>
      </c>
    </row>
    <row r="1607" spans="1:7" ht="15.75" hidden="1" x14ac:dyDescent="0.25">
      <c r="A1607" s="48">
        <v>1606</v>
      </c>
      <c r="B1607" s="49" t="s">
        <v>3270</v>
      </c>
      <c r="C1607" s="49"/>
      <c r="D1607" s="53" t="s">
        <v>47</v>
      </c>
      <c r="E1607" s="53" t="s">
        <v>48</v>
      </c>
      <c r="F1607" s="45">
        <f t="shared" si="214"/>
        <v>0</v>
      </c>
      <c r="G1607" s="58">
        <f t="shared" si="209"/>
        <v>0</v>
      </c>
    </row>
    <row r="1608" spans="1:7" ht="15.75" hidden="1" x14ac:dyDescent="0.25">
      <c r="A1608" s="48">
        <v>1607</v>
      </c>
      <c r="B1608" s="49" t="s">
        <v>3271</v>
      </c>
      <c r="C1608" s="49"/>
      <c r="D1608" s="53" t="s">
        <v>47</v>
      </c>
      <c r="E1608" s="53" t="s">
        <v>48</v>
      </c>
      <c r="F1608" s="45">
        <f t="shared" si="214"/>
        <v>0</v>
      </c>
      <c r="G1608" s="58">
        <f t="shared" si="209"/>
        <v>0</v>
      </c>
    </row>
    <row r="1609" spans="1:7" ht="15.75" hidden="1" x14ac:dyDescent="0.25">
      <c r="A1609" s="48">
        <v>1608</v>
      </c>
      <c r="B1609" s="49" t="s">
        <v>3272</v>
      </c>
      <c r="C1609" s="49"/>
      <c r="D1609" s="53" t="s">
        <v>47</v>
      </c>
      <c r="E1609" s="53" t="s">
        <v>48</v>
      </c>
      <c r="F1609" s="45">
        <f t="shared" si="214"/>
        <v>0</v>
      </c>
      <c r="G1609" s="58">
        <f t="shared" si="209"/>
        <v>0</v>
      </c>
    </row>
    <row r="1610" spans="1:7" ht="15.75" hidden="1" x14ac:dyDescent="0.25">
      <c r="A1610" s="48">
        <v>1609</v>
      </c>
      <c r="B1610" s="49" t="s">
        <v>3273</v>
      </c>
      <c r="C1610" s="49" t="s">
        <v>3274</v>
      </c>
      <c r="D1610" s="53" t="s">
        <v>47</v>
      </c>
      <c r="E1610" s="53" t="s">
        <v>48</v>
      </c>
      <c r="F1610" s="45">
        <f t="shared" si="214"/>
        <v>0</v>
      </c>
      <c r="G1610" s="58">
        <f t="shared" si="209"/>
        <v>0</v>
      </c>
    </row>
    <row r="1611" spans="1:7" ht="15.75" hidden="1" x14ac:dyDescent="0.25">
      <c r="A1611" s="48">
        <v>1610</v>
      </c>
      <c r="B1611" s="49" t="s">
        <v>3275</v>
      </c>
      <c r="C1611" s="49"/>
      <c r="D1611" s="53" t="s">
        <v>47</v>
      </c>
      <c r="E1611" s="53" t="s">
        <v>48</v>
      </c>
      <c r="F1611" s="45">
        <f t="shared" si="214"/>
        <v>0</v>
      </c>
      <c r="G1611" s="58">
        <f t="shared" si="209"/>
        <v>0</v>
      </c>
    </row>
    <row r="1612" spans="1:7" ht="15.75" hidden="1" x14ac:dyDescent="0.25">
      <c r="A1612" s="48">
        <v>1611</v>
      </c>
      <c r="B1612" s="49" t="s">
        <v>3276</v>
      </c>
      <c r="C1612" s="49" t="s">
        <v>3277</v>
      </c>
      <c r="D1612" s="53" t="s">
        <v>64</v>
      </c>
      <c r="E1612" s="53" t="s">
        <v>186</v>
      </c>
      <c r="F1612" s="45">
        <f t="shared" si="213"/>
        <v>0</v>
      </c>
      <c r="G1612" s="58">
        <f t="shared" si="209"/>
        <v>0</v>
      </c>
    </row>
    <row r="1613" spans="1:7" ht="15.75" hidden="1" x14ac:dyDescent="0.25">
      <c r="A1613" s="48">
        <v>1612</v>
      </c>
      <c r="B1613" s="49" t="s">
        <v>3278</v>
      </c>
      <c r="C1613" s="49" t="s">
        <v>3279</v>
      </c>
      <c r="D1613" s="53" t="s">
        <v>64</v>
      </c>
      <c r="E1613" s="53" t="s">
        <v>186</v>
      </c>
      <c r="F1613" s="45">
        <f t="shared" si="213"/>
        <v>0</v>
      </c>
      <c r="G1613" s="58">
        <f t="shared" ref="G1613:G1676" si="215">F1613/60</f>
        <v>0</v>
      </c>
    </row>
    <row r="1614" spans="1:7" ht="15.75" hidden="1" x14ac:dyDescent="0.25">
      <c r="A1614" s="48">
        <v>1613</v>
      </c>
      <c r="B1614" s="49" t="s">
        <v>3280</v>
      </c>
      <c r="C1614" s="49"/>
      <c r="D1614" s="53" t="s">
        <v>47</v>
      </c>
      <c r="E1614" s="53" t="s">
        <v>48</v>
      </c>
      <c r="F1614" s="45">
        <f t="shared" ref="F1614:F1616" si="216">SUM($H1614:$P1614)</f>
        <v>0</v>
      </c>
      <c r="G1614" s="58">
        <f t="shared" si="215"/>
        <v>0</v>
      </c>
    </row>
    <row r="1615" spans="1:7" ht="15.75" hidden="1" x14ac:dyDescent="0.25">
      <c r="A1615" s="48">
        <v>1614</v>
      </c>
      <c r="B1615" s="49" t="s">
        <v>3281</v>
      </c>
      <c r="C1615" s="49"/>
      <c r="D1615" s="53" t="s">
        <v>47</v>
      </c>
      <c r="E1615" s="53" t="s">
        <v>48</v>
      </c>
      <c r="F1615" s="45">
        <f t="shared" si="216"/>
        <v>0</v>
      </c>
      <c r="G1615" s="58">
        <f t="shared" si="215"/>
        <v>0</v>
      </c>
    </row>
    <row r="1616" spans="1:7" ht="15.75" hidden="1" x14ac:dyDescent="0.25">
      <c r="A1616" s="48">
        <v>1615</v>
      </c>
      <c r="B1616" s="49" t="s">
        <v>3282</v>
      </c>
      <c r="C1616" s="49"/>
      <c r="D1616" s="53" t="s">
        <v>47</v>
      </c>
      <c r="E1616" s="53" t="s">
        <v>48</v>
      </c>
      <c r="F1616" s="45">
        <f t="shared" si="216"/>
        <v>0</v>
      </c>
      <c r="G1616" s="58">
        <f t="shared" si="215"/>
        <v>0</v>
      </c>
    </row>
    <row r="1617" spans="1:7" ht="15.75" hidden="1" x14ac:dyDescent="0.25">
      <c r="A1617" s="48">
        <v>1616</v>
      </c>
      <c r="B1617" s="49" t="s">
        <v>3283</v>
      </c>
      <c r="C1617" s="49"/>
      <c r="D1617" s="53" t="s">
        <v>64</v>
      </c>
      <c r="E1617" s="53" t="s">
        <v>186</v>
      </c>
      <c r="F1617" s="45">
        <f t="shared" si="213"/>
        <v>0</v>
      </c>
      <c r="G1617" s="58">
        <f t="shared" si="215"/>
        <v>0</v>
      </c>
    </row>
    <row r="1618" spans="1:7" ht="15.75" hidden="1" x14ac:dyDescent="0.25">
      <c r="A1618" s="48">
        <v>1617</v>
      </c>
      <c r="B1618" s="49" t="s">
        <v>3284</v>
      </c>
      <c r="C1618" s="49"/>
      <c r="D1618" s="53" t="s">
        <v>64</v>
      </c>
      <c r="E1618" s="53" t="s">
        <v>186</v>
      </c>
      <c r="F1618" s="45">
        <f t="shared" si="213"/>
        <v>0</v>
      </c>
      <c r="G1618" s="58">
        <f t="shared" si="215"/>
        <v>0</v>
      </c>
    </row>
    <row r="1619" spans="1:7" ht="15.75" hidden="1" x14ac:dyDescent="0.25">
      <c r="A1619" s="48">
        <v>1618</v>
      </c>
      <c r="B1619" s="49" t="s">
        <v>3285</v>
      </c>
      <c r="C1619" s="49"/>
      <c r="D1619" s="53" t="s">
        <v>64</v>
      </c>
      <c r="E1619" s="53" t="s">
        <v>186</v>
      </c>
      <c r="F1619" s="45">
        <f t="shared" si="213"/>
        <v>0</v>
      </c>
      <c r="G1619" s="58">
        <f t="shared" si="215"/>
        <v>0</v>
      </c>
    </row>
    <row r="1620" spans="1:7" ht="15.75" hidden="1" x14ac:dyDescent="0.25">
      <c r="A1620" s="48">
        <v>1619</v>
      </c>
      <c r="B1620" s="49" t="s">
        <v>3286</v>
      </c>
      <c r="C1620" s="49"/>
      <c r="D1620" s="53" t="s">
        <v>64</v>
      </c>
      <c r="E1620" s="53" t="s">
        <v>186</v>
      </c>
      <c r="F1620" s="45">
        <f t="shared" si="213"/>
        <v>0</v>
      </c>
      <c r="G1620" s="58">
        <f t="shared" si="215"/>
        <v>0</v>
      </c>
    </row>
    <row r="1621" spans="1:7" ht="15.75" hidden="1" x14ac:dyDescent="0.25">
      <c r="A1621" s="48">
        <v>1620</v>
      </c>
      <c r="B1621" s="49" t="s">
        <v>3287</v>
      </c>
      <c r="C1621" s="49" t="s">
        <v>3288</v>
      </c>
      <c r="D1621" s="53" t="s">
        <v>64</v>
      </c>
      <c r="E1621" s="53" t="s">
        <v>186</v>
      </c>
      <c r="F1621" s="45">
        <f t="shared" si="213"/>
        <v>0</v>
      </c>
      <c r="G1621" s="58">
        <f t="shared" si="215"/>
        <v>0</v>
      </c>
    </row>
    <row r="1622" spans="1:7" ht="15.75" hidden="1" x14ac:dyDescent="0.25">
      <c r="A1622" s="48">
        <v>1621</v>
      </c>
      <c r="B1622" s="49" t="s">
        <v>3289</v>
      </c>
      <c r="C1622" s="49"/>
      <c r="D1622" s="53" t="s">
        <v>64</v>
      </c>
      <c r="E1622" s="53" t="s">
        <v>186</v>
      </c>
      <c r="F1622" s="45">
        <f t="shared" si="213"/>
        <v>0</v>
      </c>
      <c r="G1622" s="58">
        <f t="shared" si="215"/>
        <v>0</v>
      </c>
    </row>
    <row r="1623" spans="1:7" ht="15.75" hidden="1" x14ac:dyDescent="0.25">
      <c r="A1623" s="48">
        <v>1622</v>
      </c>
      <c r="B1623" s="49" t="s">
        <v>3290</v>
      </c>
      <c r="C1623" s="49"/>
      <c r="D1623" s="53" t="s">
        <v>64</v>
      </c>
      <c r="E1623" s="53" t="s">
        <v>186</v>
      </c>
      <c r="F1623" s="45">
        <f t="shared" si="213"/>
        <v>0</v>
      </c>
      <c r="G1623" s="58">
        <f t="shared" si="215"/>
        <v>0</v>
      </c>
    </row>
    <row r="1624" spans="1:7" ht="15.75" hidden="1" x14ac:dyDescent="0.25">
      <c r="A1624" s="48">
        <v>1623</v>
      </c>
      <c r="B1624" s="49" t="s">
        <v>3291</v>
      </c>
      <c r="C1624" s="49" t="s">
        <v>3292</v>
      </c>
      <c r="D1624" s="53" t="s">
        <v>47</v>
      </c>
      <c r="E1624" s="53" t="s">
        <v>105</v>
      </c>
      <c r="F1624" s="45">
        <f t="shared" ref="F1624:F1628" si="217">SUM($H1624:$P1624)</f>
        <v>0</v>
      </c>
      <c r="G1624" s="58">
        <f t="shared" si="215"/>
        <v>0</v>
      </c>
    </row>
    <row r="1625" spans="1:7" ht="15.75" hidden="1" x14ac:dyDescent="0.25">
      <c r="A1625" s="48">
        <v>1624</v>
      </c>
      <c r="B1625" s="49" t="s">
        <v>3293</v>
      </c>
      <c r="C1625" s="49" t="s">
        <v>3294</v>
      </c>
      <c r="D1625" s="53" t="s">
        <v>47</v>
      </c>
      <c r="E1625" s="53" t="s">
        <v>48</v>
      </c>
      <c r="F1625" s="45">
        <f t="shared" si="217"/>
        <v>0</v>
      </c>
      <c r="G1625" s="58">
        <f t="shared" si="215"/>
        <v>0</v>
      </c>
    </row>
    <row r="1626" spans="1:7" ht="15.75" hidden="1" x14ac:dyDescent="0.25">
      <c r="A1626" s="48">
        <v>1625</v>
      </c>
      <c r="B1626" s="49" t="s">
        <v>3295</v>
      </c>
      <c r="C1626" s="49"/>
      <c r="D1626" s="53" t="s">
        <v>47</v>
      </c>
      <c r="E1626" s="53" t="s">
        <v>105</v>
      </c>
      <c r="F1626" s="45">
        <f t="shared" si="217"/>
        <v>0</v>
      </c>
      <c r="G1626" s="58">
        <f t="shared" si="215"/>
        <v>0</v>
      </c>
    </row>
    <row r="1627" spans="1:7" ht="15.75" hidden="1" x14ac:dyDescent="0.25">
      <c r="A1627" s="48">
        <v>1626</v>
      </c>
      <c r="B1627" s="49" t="s">
        <v>3296</v>
      </c>
      <c r="C1627" s="49"/>
      <c r="D1627" s="53" t="s">
        <v>47</v>
      </c>
      <c r="E1627" s="53" t="s">
        <v>105</v>
      </c>
      <c r="F1627" s="45">
        <f t="shared" si="217"/>
        <v>0</v>
      </c>
      <c r="G1627" s="58">
        <f t="shared" si="215"/>
        <v>0</v>
      </c>
    </row>
    <row r="1628" spans="1:7" ht="15.75" hidden="1" x14ac:dyDescent="0.25">
      <c r="A1628" s="48">
        <v>1627</v>
      </c>
      <c r="B1628" s="49" t="s">
        <v>3297</v>
      </c>
      <c r="C1628" s="49"/>
      <c r="D1628" s="53" t="s">
        <v>47</v>
      </c>
      <c r="E1628" s="53" t="s">
        <v>56</v>
      </c>
      <c r="F1628" s="45">
        <f t="shared" si="217"/>
        <v>0</v>
      </c>
      <c r="G1628" s="58">
        <f t="shared" si="215"/>
        <v>0</v>
      </c>
    </row>
    <row r="1629" spans="1:7" ht="15.75" hidden="1" x14ac:dyDescent="0.25">
      <c r="A1629" s="48">
        <v>1628</v>
      </c>
      <c r="B1629" s="49" t="s">
        <v>3298</v>
      </c>
      <c r="C1629" s="49"/>
      <c r="D1629" s="53" t="s">
        <v>64</v>
      </c>
      <c r="E1629" s="53" t="s">
        <v>186</v>
      </c>
      <c r="F1629" s="45">
        <f t="shared" si="213"/>
        <v>0</v>
      </c>
      <c r="G1629" s="58">
        <f t="shared" si="215"/>
        <v>0</v>
      </c>
    </row>
    <row r="1630" spans="1:7" ht="15.75" hidden="1" x14ac:dyDescent="0.25">
      <c r="A1630" s="48">
        <v>1629</v>
      </c>
      <c r="B1630" s="49" t="s">
        <v>3299</v>
      </c>
      <c r="C1630" s="49"/>
      <c r="D1630" s="53" t="s">
        <v>64</v>
      </c>
      <c r="E1630" s="53" t="s">
        <v>186</v>
      </c>
      <c r="F1630" s="45">
        <f t="shared" si="213"/>
        <v>0</v>
      </c>
      <c r="G1630" s="58">
        <f t="shared" si="215"/>
        <v>0</v>
      </c>
    </row>
    <row r="1631" spans="1:7" ht="15.75" hidden="1" x14ac:dyDescent="0.25">
      <c r="A1631" s="48">
        <v>1630</v>
      </c>
      <c r="B1631" s="49" t="s">
        <v>3300</v>
      </c>
      <c r="C1631" s="49"/>
      <c r="D1631" s="53" t="s">
        <v>64</v>
      </c>
      <c r="E1631" s="53" t="s">
        <v>186</v>
      </c>
      <c r="F1631" s="45">
        <f t="shared" si="213"/>
        <v>0</v>
      </c>
      <c r="G1631" s="58">
        <f t="shared" si="215"/>
        <v>0</v>
      </c>
    </row>
    <row r="1632" spans="1:7" ht="15.75" hidden="1" x14ac:dyDescent="0.25">
      <c r="A1632" s="48">
        <v>1631</v>
      </c>
      <c r="B1632" s="49" t="s">
        <v>3301</v>
      </c>
      <c r="C1632" s="49"/>
      <c r="D1632" s="53" t="s">
        <v>64</v>
      </c>
      <c r="E1632" s="53" t="s">
        <v>186</v>
      </c>
      <c r="F1632" s="45">
        <f t="shared" si="213"/>
        <v>0</v>
      </c>
      <c r="G1632" s="58">
        <f t="shared" si="215"/>
        <v>0</v>
      </c>
    </row>
    <row r="1633" spans="1:7" ht="15.75" hidden="1" x14ac:dyDescent="0.25">
      <c r="A1633" s="48">
        <v>1632</v>
      </c>
      <c r="B1633" s="49" t="s">
        <v>3302</v>
      </c>
      <c r="C1633" s="49"/>
      <c r="D1633" s="53" t="s">
        <v>64</v>
      </c>
      <c r="E1633" s="53" t="s">
        <v>186</v>
      </c>
      <c r="F1633" s="45">
        <f t="shared" si="213"/>
        <v>0</v>
      </c>
      <c r="G1633" s="58">
        <f t="shared" si="215"/>
        <v>0</v>
      </c>
    </row>
    <row r="1634" spans="1:7" ht="15.75" hidden="1" x14ac:dyDescent="0.25">
      <c r="A1634" s="48">
        <v>1633</v>
      </c>
      <c r="B1634" s="49" t="s">
        <v>3303</v>
      </c>
      <c r="C1634" s="49" t="s">
        <v>3304</v>
      </c>
      <c r="D1634" s="53" t="s">
        <v>64</v>
      </c>
      <c r="E1634" s="53" t="s">
        <v>186</v>
      </c>
      <c r="F1634" s="45">
        <f t="shared" si="213"/>
        <v>0</v>
      </c>
      <c r="G1634" s="58">
        <f t="shared" si="215"/>
        <v>0</v>
      </c>
    </row>
    <row r="1635" spans="1:7" ht="15.75" hidden="1" x14ac:dyDescent="0.25">
      <c r="A1635" s="48">
        <v>1634</v>
      </c>
      <c r="B1635" s="49" t="s">
        <v>3305</v>
      </c>
      <c r="C1635" s="49" t="s">
        <v>3306</v>
      </c>
      <c r="D1635" s="53" t="s">
        <v>47</v>
      </c>
      <c r="E1635" s="53" t="s">
        <v>51</v>
      </c>
      <c r="F1635" s="45">
        <f t="shared" ref="F1635:F1637" si="218">SUM($H1635:$P1635)</f>
        <v>0</v>
      </c>
      <c r="G1635" s="58">
        <f t="shared" si="215"/>
        <v>0</v>
      </c>
    </row>
    <row r="1636" spans="1:7" ht="15.75" hidden="1" x14ac:dyDescent="0.25">
      <c r="A1636" s="48">
        <v>1635</v>
      </c>
      <c r="B1636" s="49" t="s">
        <v>3307</v>
      </c>
      <c r="C1636" s="49" t="s">
        <v>3308</v>
      </c>
      <c r="D1636" s="53" t="s">
        <v>47</v>
      </c>
      <c r="E1636" s="53" t="s">
        <v>48</v>
      </c>
      <c r="F1636" s="45">
        <f t="shared" si="218"/>
        <v>0</v>
      </c>
      <c r="G1636" s="58">
        <f t="shared" si="215"/>
        <v>0</v>
      </c>
    </row>
    <row r="1637" spans="1:7" ht="15.75" hidden="1" x14ac:dyDescent="0.25">
      <c r="A1637" s="48">
        <v>1636</v>
      </c>
      <c r="B1637" s="49" t="s">
        <v>3309</v>
      </c>
      <c r="C1637" s="49" t="s">
        <v>3310</v>
      </c>
      <c r="D1637" s="53" t="s">
        <v>47</v>
      </c>
      <c r="E1637" s="53" t="s">
        <v>48</v>
      </c>
      <c r="F1637" s="45">
        <f t="shared" si="218"/>
        <v>0</v>
      </c>
      <c r="G1637" s="58">
        <f t="shared" si="215"/>
        <v>0</v>
      </c>
    </row>
    <row r="1638" spans="1:7" ht="15.75" hidden="1" x14ac:dyDescent="0.25">
      <c r="A1638" s="48">
        <v>1637</v>
      </c>
      <c r="B1638" s="49" t="s">
        <v>3311</v>
      </c>
      <c r="C1638" s="49"/>
      <c r="D1638" s="53" t="s">
        <v>64</v>
      </c>
      <c r="E1638" s="53" t="s">
        <v>186</v>
      </c>
      <c r="F1638" s="45">
        <f t="shared" si="213"/>
        <v>0</v>
      </c>
      <c r="G1638" s="58">
        <f t="shared" si="215"/>
        <v>0</v>
      </c>
    </row>
    <row r="1639" spans="1:7" ht="15.75" hidden="1" x14ac:dyDescent="0.25">
      <c r="A1639" s="48">
        <v>1638</v>
      </c>
      <c r="B1639" s="49" t="s">
        <v>3312</v>
      </c>
      <c r="C1639" s="49"/>
      <c r="D1639" s="53" t="s">
        <v>47</v>
      </c>
      <c r="E1639" s="53" t="s">
        <v>48</v>
      </c>
      <c r="F1639" s="45">
        <f t="shared" ref="F1639:F1641" si="219">SUM($H1639:$P1639)</f>
        <v>0</v>
      </c>
      <c r="G1639" s="58">
        <f t="shared" si="215"/>
        <v>0</v>
      </c>
    </row>
    <row r="1640" spans="1:7" ht="15.75" hidden="1" x14ac:dyDescent="0.25">
      <c r="A1640" s="48">
        <v>1639</v>
      </c>
      <c r="B1640" s="49" t="s">
        <v>3313</v>
      </c>
      <c r="C1640" s="49"/>
      <c r="D1640" s="53" t="s">
        <v>47</v>
      </c>
      <c r="E1640" s="53" t="s">
        <v>48</v>
      </c>
      <c r="F1640" s="45">
        <f t="shared" si="219"/>
        <v>0</v>
      </c>
      <c r="G1640" s="58">
        <f t="shared" si="215"/>
        <v>0</v>
      </c>
    </row>
    <row r="1641" spans="1:7" ht="15.75" hidden="1" x14ac:dyDescent="0.25">
      <c r="A1641" s="48">
        <v>1640</v>
      </c>
      <c r="B1641" s="49" t="s">
        <v>3314</v>
      </c>
      <c r="C1641" s="49"/>
      <c r="D1641" s="53" t="s">
        <v>47</v>
      </c>
      <c r="E1641" s="53" t="s">
        <v>48</v>
      </c>
      <c r="F1641" s="45">
        <f t="shared" si="219"/>
        <v>0</v>
      </c>
      <c r="G1641" s="58">
        <f t="shared" si="215"/>
        <v>0</v>
      </c>
    </row>
    <row r="1642" spans="1:7" ht="15.75" hidden="1" x14ac:dyDescent="0.25">
      <c r="A1642" s="48">
        <v>1641</v>
      </c>
      <c r="B1642" s="49" t="s">
        <v>3315</v>
      </c>
      <c r="C1642" s="49" t="s">
        <v>3316</v>
      </c>
      <c r="D1642" s="53" t="s">
        <v>64</v>
      </c>
      <c r="E1642" s="53" t="s">
        <v>186</v>
      </c>
      <c r="F1642" s="45">
        <f t="shared" si="213"/>
        <v>0</v>
      </c>
      <c r="G1642" s="58">
        <f t="shared" si="215"/>
        <v>0</v>
      </c>
    </row>
    <row r="1643" spans="1:7" ht="15.75" hidden="1" x14ac:dyDescent="0.25">
      <c r="A1643" s="48">
        <v>1642</v>
      </c>
      <c r="B1643" s="49" t="s">
        <v>3317</v>
      </c>
      <c r="C1643" s="49"/>
      <c r="D1643" s="53" t="s">
        <v>64</v>
      </c>
      <c r="E1643" s="53" t="s">
        <v>186</v>
      </c>
      <c r="F1643" s="45">
        <f t="shared" si="213"/>
        <v>0</v>
      </c>
      <c r="G1643" s="58">
        <f t="shared" si="215"/>
        <v>0</v>
      </c>
    </row>
    <row r="1644" spans="1:7" ht="15.75" hidden="1" x14ac:dyDescent="0.25">
      <c r="A1644" s="48">
        <v>1643</v>
      </c>
      <c r="B1644" s="49" t="s">
        <v>3318</v>
      </c>
      <c r="C1644" s="49"/>
      <c r="D1644" s="53" t="s">
        <v>47</v>
      </c>
      <c r="E1644" s="53" t="s">
        <v>48</v>
      </c>
      <c r="F1644" s="45">
        <f>SUM($H1644:$P1644)</f>
        <v>0</v>
      </c>
      <c r="G1644" s="58">
        <f t="shared" si="215"/>
        <v>0</v>
      </c>
    </row>
    <row r="1645" spans="1:7" ht="15.75" hidden="1" x14ac:dyDescent="0.25">
      <c r="A1645" s="48">
        <v>1644</v>
      </c>
      <c r="B1645" s="49" t="s">
        <v>3319</v>
      </c>
      <c r="C1645" s="49"/>
      <c r="D1645" s="53" t="s">
        <v>64</v>
      </c>
      <c r="E1645" s="53" t="s">
        <v>186</v>
      </c>
      <c r="F1645" s="45">
        <f t="shared" si="213"/>
        <v>0</v>
      </c>
      <c r="G1645" s="58">
        <f t="shared" si="215"/>
        <v>0</v>
      </c>
    </row>
    <row r="1646" spans="1:7" ht="15.75" hidden="1" x14ac:dyDescent="0.25">
      <c r="A1646" s="48">
        <v>1645</v>
      </c>
      <c r="B1646" s="49" t="s">
        <v>3320</v>
      </c>
      <c r="C1646" s="49"/>
      <c r="D1646" s="53" t="s">
        <v>47</v>
      </c>
      <c r="E1646" s="53" t="s">
        <v>48</v>
      </c>
      <c r="F1646" s="45">
        <f>SUM($H1646:$P1646)</f>
        <v>0</v>
      </c>
      <c r="G1646" s="58">
        <f t="shared" si="215"/>
        <v>0</v>
      </c>
    </row>
    <row r="1647" spans="1:7" ht="15.75" hidden="1" x14ac:dyDescent="0.25">
      <c r="A1647" s="48">
        <v>1646</v>
      </c>
      <c r="B1647" s="49" t="s">
        <v>3321</v>
      </c>
      <c r="C1647" s="49" t="s">
        <v>3322</v>
      </c>
      <c r="D1647" s="53" t="s">
        <v>64</v>
      </c>
      <c r="E1647" s="53" t="s">
        <v>186</v>
      </c>
      <c r="F1647" s="45">
        <f t="shared" si="213"/>
        <v>0</v>
      </c>
      <c r="G1647" s="58">
        <f t="shared" si="215"/>
        <v>0</v>
      </c>
    </row>
    <row r="1648" spans="1:7" ht="15.75" hidden="1" x14ac:dyDescent="0.25">
      <c r="A1648" s="48">
        <v>1647</v>
      </c>
      <c r="B1648" s="49" t="s">
        <v>3323</v>
      </c>
      <c r="C1648" s="49"/>
      <c r="D1648" s="53" t="s">
        <v>64</v>
      </c>
      <c r="E1648" s="53" t="s">
        <v>186</v>
      </c>
      <c r="F1648" s="45">
        <f t="shared" si="213"/>
        <v>0</v>
      </c>
      <c r="G1648" s="58">
        <f t="shared" si="215"/>
        <v>0</v>
      </c>
    </row>
    <row r="1649" spans="1:7" ht="15.75" hidden="1" x14ac:dyDescent="0.25">
      <c r="A1649" s="48">
        <v>1648</v>
      </c>
      <c r="B1649" s="49" t="s">
        <v>3324</v>
      </c>
      <c r="C1649" s="49"/>
      <c r="D1649" s="53" t="s">
        <v>64</v>
      </c>
      <c r="E1649" s="53" t="s">
        <v>65</v>
      </c>
      <c r="F1649" s="45">
        <f t="shared" si="213"/>
        <v>0</v>
      </c>
      <c r="G1649" s="58">
        <f t="shared" si="215"/>
        <v>0</v>
      </c>
    </row>
    <row r="1650" spans="1:7" ht="15.75" hidden="1" x14ac:dyDescent="0.25">
      <c r="A1650" s="48">
        <v>1649</v>
      </c>
      <c r="B1650" s="49" t="s">
        <v>3325</v>
      </c>
      <c r="C1650" s="49" t="s">
        <v>3326</v>
      </c>
      <c r="D1650" s="53" t="s">
        <v>64</v>
      </c>
      <c r="E1650" s="53" t="s">
        <v>186</v>
      </c>
      <c r="F1650" s="45">
        <f t="shared" si="213"/>
        <v>0</v>
      </c>
      <c r="G1650" s="58">
        <f t="shared" si="215"/>
        <v>0</v>
      </c>
    </row>
    <row r="1651" spans="1:7" ht="15.75" hidden="1" x14ac:dyDescent="0.25">
      <c r="A1651" s="48">
        <v>1650</v>
      </c>
      <c r="B1651" s="49" t="s">
        <v>3327</v>
      </c>
      <c r="C1651" s="49"/>
      <c r="D1651" s="53" t="s">
        <v>64</v>
      </c>
      <c r="E1651" s="53" t="s">
        <v>65</v>
      </c>
      <c r="F1651" s="45">
        <f t="shared" si="213"/>
        <v>0</v>
      </c>
      <c r="G1651" s="58">
        <f t="shared" si="215"/>
        <v>0</v>
      </c>
    </row>
    <row r="1652" spans="1:7" ht="15.75" hidden="1" x14ac:dyDescent="0.25">
      <c r="A1652" s="48">
        <v>1651</v>
      </c>
      <c r="B1652" s="49" t="s">
        <v>3328</v>
      </c>
      <c r="C1652" s="49"/>
      <c r="D1652" s="53" t="s">
        <v>64</v>
      </c>
      <c r="E1652" s="53" t="s">
        <v>186</v>
      </c>
      <c r="F1652" s="45">
        <f t="shared" si="213"/>
        <v>0</v>
      </c>
      <c r="G1652" s="58">
        <f t="shared" si="215"/>
        <v>0</v>
      </c>
    </row>
    <row r="1653" spans="1:7" ht="15.75" hidden="1" x14ac:dyDescent="0.25">
      <c r="A1653" s="48">
        <v>1652</v>
      </c>
      <c r="B1653" s="49" t="s">
        <v>3329</v>
      </c>
      <c r="C1653" s="49"/>
      <c r="D1653" s="53" t="s">
        <v>47</v>
      </c>
      <c r="E1653" s="53" t="s">
        <v>86</v>
      </c>
      <c r="F1653" s="45">
        <f>SUM($H1653:$P1653)</f>
        <v>0</v>
      </c>
      <c r="G1653" s="58">
        <f t="shared" si="215"/>
        <v>0</v>
      </c>
    </row>
    <row r="1654" spans="1:7" ht="15.75" hidden="1" x14ac:dyDescent="0.25">
      <c r="A1654" s="48">
        <v>1653</v>
      </c>
      <c r="B1654" s="49" t="s">
        <v>3330</v>
      </c>
      <c r="C1654" s="49"/>
      <c r="D1654" s="53" t="s">
        <v>64</v>
      </c>
      <c r="E1654" s="53" t="s">
        <v>186</v>
      </c>
      <c r="F1654" s="45">
        <f t="shared" si="213"/>
        <v>0</v>
      </c>
      <c r="G1654" s="58">
        <f t="shared" si="215"/>
        <v>0</v>
      </c>
    </row>
    <row r="1655" spans="1:7" ht="15.75" hidden="1" x14ac:dyDescent="0.25">
      <c r="A1655" s="48">
        <v>1654</v>
      </c>
      <c r="B1655" s="49" t="s">
        <v>3331</v>
      </c>
      <c r="C1655" s="49" t="s">
        <v>3332</v>
      </c>
      <c r="D1655" s="53" t="s">
        <v>64</v>
      </c>
      <c r="E1655" s="53" t="s">
        <v>186</v>
      </c>
      <c r="F1655" s="45">
        <f t="shared" si="213"/>
        <v>0</v>
      </c>
      <c r="G1655" s="58">
        <f t="shared" si="215"/>
        <v>0</v>
      </c>
    </row>
    <row r="1656" spans="1:7" ht="15.75" hidden="1" x14ac:dyDescent="0.25">
      <c r="A1656" s="48">
        <v>1655</v>
      </c>
      <c r="B1656" s="49" t="s">
        <v>3333</v>
      </c>
      <c r="C1656" s="49" t="s">
        <v>3334</v>
      </c>
      <c r="D1656" s="53" t="s">
        <v>64</v>
      </c>
      <c r="E1656" s="53" t="s">
        <v>186</v>
      </c>
      <c r="F1656" s="45">
        <f t="shared" si="213"/>
        <v>0</v>
      </c>
      <c r="G1656" s="58">
        <f t="shared" si="215"/>
        <v>0</v>
      </c>
    </row>
    <row r="1657" spans="1:7" ht="15.75" hidden="1" x14ac:dyDescent="0.25">
      <c r="A1657" s="48">
        <v>1656</v>
      </c>
      <c r="B1657" s="49" t="s">
        <v>3335</v>
      </c>
      <c r="C1657" s="49" t="s">
        <v>3336</v>
      </c>
      <c r="D1657" s="53" t="s">
        <v>64</v>
      </c>
      <c r="E1657" s="53" t="s">
        <v>186</v>
      </c>
      <c r="F1657" s="45">
        <f t="shared" si="213"/>
        <v>0</v>
      </c>
      <c r="G1657" s="58">
        <f t="shared" si="215"/>
        <v>0</v>
      </c>
    </row>
    <row r="1658" spans="1:7" ht="15.75" hidden="1" x14ac:dyDescent="0.25">
      <c r="A1658" s="48">
        <v>1657</v>
      </c>
      <c r="B1658" s="49" t="s">
        <v>3337</v>
      </c>
      <c r="C1658" s="49"/>
      <c r="D1658" s="53" t="s">
        <v>47</v>
      </c>
      <c r="E1658" s="53" t="s">
        <v>56</v>
      </c>
      <c r="F1658" s="45">
        <f>SUM($H1658:$P1658)</f>
        <v>0</v>
      </c>
      <c r="G1658" s="58">
        <f t="shared" si="215"/>
        <v>0</v>
      </c>
    </row>
    <row r="1659" spans="1:7" ht="15.75" hidden="1" x14ac:dyDescent="0.25">
      <c r="A1659" s="48">
        <v>1658</v>
      </c>
      <c r="B1659" s="49" t="s">
        <v>3338</v>
      </c>
      <c r="C1659" s="49"/>
      <c r="D1659" s="53" t="s">
        <v>64</v>
      </c>
      <c r="E1659" s="53" t="s">
        <v>186</v>
      </c>
      <c r="F1659" s="45">
        <f t="shared" si="213"/>
        <v>0</v>
      </c>
      <c r="G1659" s="58">
        <f t="shared" si="215"/>
        <v>0</v>
      </c>
    </row>
    <row r="1660" spans="1:7" ht="15.75" hidden="1" x14ac:dyDescent="0.25">
      <c r="A1660" s="48">
        <v>1659</v>
      </c>
      <c r="B1660" s="49" t="s">
        <v>3339</v>
      </c>
      <c r="C1660" s="49"/>
      <c r="D1660" s="53" t="s">
        <v>64</v>
      </c>
      <c r="E1660" s="53" t="s">
        <v>186</v>
      </c>
      <c r="F1660" s="45">
        <f t="shared" si="213"/>
        <v>0</v>
      </c>
      <c r="G1660" s="58">
        <f t="shared" si="215"/>
        <v>0</v>
      </c>
    </row>
    <row r="1661" spans="1:7" ht="15.75" hidden="1" x14ac:dyDescent="0.25">
      <c r="A1661" s="48">
        <v>1660</v>
      </c>
      <c r="B1661" s="49" t="s">
        <v>3340</v>
      </c>
      <c r="C1661" s="49"/>
      <c r="D1661" s="53" t="s">
        <v>64</v>
      </c>
      <c r="E1661" s="53" t="s">
        <v>186</v>
      </c>
      <c r="F1661" s="45">
        <f t="shared" si="213"/>
        <v>0</v>
      </c>
      <c r="G1661" s="58">
        <f t="shared" si="215"/>
        <v>0</v>
      </c>
    </row>
    <row r="1662" spans="1:7" ht="15.75" hidden="1" x14ac:dyDescent="0.25">
      <c r="A1662" s="48">
        <v>1661</v>
      </c>
      <c r="B1662" s="49" t="s">
        <v>3341</v>
      </c>
      <c r="C1662" s="49"/>
      <c r="D1662" s="53" t="s">
        <v>64</v>
      </c>
      <c r="E1662" s="53" t="s">
        <v>186</v>
      </c>
      <c r="F1662" s="45">
        <f t="shared" si="213"/>
        <v>0</v>
      </c>
      <c r="G1662" s="58">
        <f t="shared" si="215"/>
        <v>0</v>
      </c>
    </row>
    <row r="1663" spans="1:7" ht="15.75" hidden="1" x14ac:dyDescent="0.25">
      <c r="A1663" s="48">
        <v>1662</v>
      </c>
      <c r="B1663" s="49" t="s">
        <v>3342</v>
      </c>
      <c r="C1663" s="49"/>
      <c r="D1663" s="53" t="s">
        <v>64</v>
      </c>
      <c r="E1663" s="53" t="s">
        <v>186</v>
      </c>
      <c r="F1663" s="45">
        <f t="shared" si="213"/>
        <v>0</v>
      </c>
      <c r="G1663" s="58">
        <f t="shared" si="215"/>
        <v>0</v>
      </c>
    </row>
    <row r="1664" spans="1:7" ht="15.75" hidden="1" x14ac:dyDescent="0.25">
      <c r="A1664" s="48">
        <v>1663</v>
      </c>
      <c r="B1664" s="49" t="s">
        <v>3343</v>
      </c>
      <c r="C1664" s="49"/>
      <c r="D1664" s="53" t="s">
        <v>64</v>
      </c>
      <c r="E1664" s="53" t="s">
        <v>186</v>
      </c>
      <c r="F1664" s="45">
        <f t="shared" si="213"/>
        <v>0</v>
      </c>
      <c r="G1664" s="58">
        <f t="shared" si="215"/>
        <v>0</v>
      </c>
    </row>
    <row r="1665" spans="1:7" ht="15.75" hidden="1" x14ac:dyDescent="0.25">
      <c r="A1665" s="48">
        <v>1664</v>
      </c>
      <c r="B1665" s="49" t="s">
        <v>3344</v>
      </c>
      <c r="C1665" s="49" t="s">
        <v>3345</v>
      </c>
      <c r="D1665" s="53" t="s">
        <v>64</v>
      </c>
      <c r="E1665" s="53" t="s">
        <v>186</v>
      </c>
      <c r="F1665" s="45">
        <f t="shared" si="213"/>
        <v>0</v>
      </c>
      <c r="G1665" s="58">
        <f t="shared" si="215"/>
        <v>0</v>
      </c>
    </row>
    <row r="1666" spans="1:7" ht="15.75" hidden="1" x14ac:dyDescent="0.25">
      <c r="A1666" s="48">
        <v>1665</v>
      </c>
      <c r="B1666" s="49" t="s">
        <v>3346</v>
      </c>
      <c r="C1666" s="49" t="s">
        <v>3347</v>
      </c>
      <c r="D1666" s="53" t="s">
        <v>47</v>
      </c>
      <c r="E1666" s="53" t="s">
        <v>48</v>
      </c>
      <c r="F1666" s="45">
        <f t="shared" ref="F1666:F1667" si="220">SUM($H1666:$P1666)</f>
        <v>0</v>
      </c>
      <c r="G1666" s="58">
        <f t="shared" si="215"/>
        <v>0</v>
      </c>
    </row>
    <row r="1667" spans="1:7" ht="15.75" hidden="1" x14ac:dyDescent="0.25">
      <c r="A1667" s="48">
        <v>1666</v>
      </c>
      <c r="B1667" s="49" t="s">
        <v>3348</v>
      </c>
      <c r="C1667" s="49" t="s">
        <v>3349</v>
      </c>
      <c r="D1667" s="53" t="s">
        <v>47</v>
      </c>
      <c r="E1667" s="53" t="s">
        <v>48</v>
      </c>
      <c r="F1667" s="45">
        <f t="shared" si="220"/>
        <v>0</v>
      </c>
      <c r="G1667" s="58">
        <f t="shared" si="215"/>
        <v>0</v>
      </c>
    </row>
    <row r="1668" spans="1:7" ht="15.75" hidden="1" x14ac:dyDescent="0.25">
      <c r="A1668" s="48">
        <v>1667</v>
      </c>
      <c r="B1668" s="49" t="s">
        <v>3350</v>
      </c>
      <c r="C1668" s="49" t="s">
        <v>3351</v>
      </c>
      <c r="D1668" s="53" t="s">
        <v>64</v>
      </c>
      <c r="E1668" s="53" t="s">
        <v>186</v>
      </c>
      <c r="F1668" s="45">
        <f t="shared" ref="F1668:F1730" si="221">SUM($H1668:$K1668)</f>
        <v>0</v>
      </c>
      <c r="G1668" s="58">
        <f t="shared" si="215"/>
        <v>0</v>
      </c>
    </row>
    <row r="1669" spans="1:7" ht="15.75" hidden="1" x14ac:dyDescent="0.25">
      <c r="A1669" s="48">
        <v>1668</v>
      </c>
      <c r="B1669" s="49" t="s">
        <v>3352</v>
      </c>
      <c r="C1669" s="49" t="s">
        <v>3353</v>
      </c>
      <c r="D1669" s="53" t="s">
        <v>47</v>
      </c>
      <c r="E1669" s="53" t="s">
        <v>48</v>
      </c>
      <c r="F1669" s="45">
        <f t="shared" ref="F1669:F1671" si="222">SUM($H1669:$P1669)</f>
        <v>0</v>
      </c>
      <c r="G1669" s="58">
        <f t="shared" si="215"/>
        <v>0</v>
      </c>
    </row>
    <row r="1670" spans="1:7" ht="15.75" hidden="1" x14ac:dyDescent="0.25">
      <c r="A1670" s="48">
        <v>1669</v>
      </c>
      <c r="B1670" s="49" t="s">
        <v>3354</v>
      </c>
      <c r="C1670" s="49"/>
      <c r="D1670" s="53" t="s">
        <v>47</v>
      </c>
      <c r="E1670" s="53" t="s">
        <v>116</v>
      </c>
      <c r="F1670" s="45">
        <f t="shared" si="222"/>
        <v>0</v>
      </c>
      <c r="G1670" s="58">
        <f t="shared" si="215"/>
        <v>0</v>
      </c>
    </row>
    <row r="1671" spans="1:7" ht="15.75" hidden="1" x14ac:dyDescent="0.25">
      <c r="A1671" s="48">
        <v>1670</v>
      </c>
      <c r="B1671" s="49" t="s">
        <v>3355</v>
      </c>
      <c r="C1671" s="49"/>
      <c r="D1671" s="53" t="s">
        <v>47</v>
      </c>
      <c r="E1671" s="53" t="s">
        <v>48</v>
      </c>
      <c r="F1671" s="45">
        <f t="shared" si="222"/>
        <v>0</v>
      </c>
      <c r="G1671" s="58">
        <f t="shared" si="215"/>
        <v>0</v>
      </c>
    </row>
    <row r="1672" spans="1:7" ht="15.75" hidden="1" x14ac:dyDescent="0.25">
      <c r="A1672" s="48">
        <v>1671</v>
      </c>
      <c r="B1672" s="49" t="s">
        <v>3356</v>
      </c>
      <c r="C1672" s="49" t="s">
        <v>3357</v>
      </c>
      <c r="D1672" s="53" t="s">
        <v>64</v>
      </c>
      <c r="E1672" s="53" t="s">
        <v>186</v>
      </c>
      <c r="F1672" s="45">
        <f t="shared" si="221"/>
        <v>0</v>
      </c>
      <c r="G1672" s="58">
        <f t="shared" si="215"/>
        <v>0</v>
      </c>
    </row>
    <row r="1673" spans="1:7" ht="15.75" hidden="1" x14ac:dyDescent="0.25">
      <c r="A1673" s="48">
        <v>1672</v>
      </c>
      <c r="B1673" s="49" t="s">
        <v>3358</v>
      </c>
      <c r="C1673" s="49" t="s">
        <v>3359</v>
      </c>
      <c r="D1673" s="53" t="s">
        <v>47</v>
      </c>
      <c r="E1673" s="53" t="s">
        <v>86</v>
      </c>
      <c r="F1673" s="45">
        <f t="shared" ref="F1673:F1678" si="223">SUM($H1673:$P1673)</f>
        <v>0</v>
      </c>
      <c r="G1673" s="58">
        <f t="shared" si="215"/>
        <v>0</v>
      </c>
    </row>
    <row r="1674" spans="1:7" ht="15.75" hidden="1" x14ac:dyDescent="0.25">
      <c r="A1674" s="48">
        <v>1673</v>
      </c>
      <c r="B1674" s="49" t="s">
        <v>3360</v>
      </c>
      <c r="C1674" s="49" t="s">
        <v>3361</v>
      </c>
      <c r="D1674" s="53" t="s">
        <v>47</v>
      </c>
      <c r="E1674" s="53" t="s">
        <v>86</v>
      </c>
      <c r="F1674" s="45">
        <f t="shared" si="223"/>
        <v>0</v>
      </c>
      <c r="G1674" s="58">
        <f t="shared" si="215"/>
        <v>0</v>
      </c>
    </row>
    <row r="1675" spans="1:7" ht="15.75" hidden="1" x14ac:dyDescent="0.25">
      <c r="A1675" s="48">
        <v>1674</v>
      </c>
      <c r="B1675" s="49" t="s">
        <v>3362</v>
      </c>
      <c r="C1675" s="49" t="s">
        <v>3363</v>
      </c>
      <c r="D1675" s="53" t="s">
        <v>47</v>
      </c>
      <c r="E1675" s="53" t="s">
        <v>86</v>
      </c>
      <c r="F1675" s="45">
        <f t="shared" si="223"/>
        <v>0</v>
      </c>
      <c r="G1675" s="58">
        <f t="shared" si="215"/>
        <v>0</v>
      </c>
    </row>
    <row r="1676" spans="1:7" ht="15.75" hidden="1" x14ac:dyDescent="0.25">
      <c r="A1676" s="48">
        <v>1675</v>
      </c>
      <c r="B1676" s="49" t="s">
        <v>3364</v>
      </c>
      <c r="C1676" s="49" t="s">
        <v>3365</v>
      </c>
      <c r="D1676" s="53" t="s">
        <v>47</v>
      </c>
      <c r="E1676" s="53" t="s">
        <v>56</v>
      </c>
      <c r="F1676" s="45">
        <f t="shared" si="223"/>
        <v>0</v>
      </c>
      <c r="G1676" s="58">
        <f t="shared" si="215"/>
        <v>0</v>
      </c>
    </row>
    <row r="1677" spans="1:7" ht="15.75" hidden="1" x14ac:dyDescent="0.25">
      <c r="A1677" s="48">
        <v>1676</v>
      </c>
      <c r="B1677" s="49" t="s">
        <v>3366</v>
      </c>
      <c r="C1677" s="49" t="s">
        <v>3367</v>
      </c>
      <c r="D1677" s="53" t="s">
        <v>47</v>
      </c>
      <c r="E1677" s="53" t="s">
        <v>86</v>
      </c>
      <c r="F1677" s="45">
        <f t="shared" si="223"/>
        <v>0</v>
      </c>
      <c r="G1677" s="58">
        <f t="shared" ref="G1677:G1740" si="224">F1677/60</f>
        <v>0</v>
      </c>
    </row>
    <row r="1678" spans="1:7" ht="15.75" hidden="1" x14ac:dyDescent="0.25">
      <c r="A1678" s="48">
        <v>1677</v>
      </c>
      <c r="B1678" s="49" t="s">
        <v>3368</v>
      </c>
      <c r="C1678" s="49" t="s">
        <v>3369</v>
      </c>
      <c r="D1678" s="53" t="s">
        <v>47</v>
      </c>
      <c r="E1678" s="53" t="s">
        <v>86</v>
      </c>
      <c r="F1678" s="45">
        <f t="shared" si="223"/>
        <v>0</v>
      </c>
      <c r="G1678" s="58">
        <f t="shared" si="224"/>
        <v>0</v>
      </c>
    </row>
    <row r="1679" spans="1:7" ht="15.75" hidden="1" x14ac:dyDescent="0.25">
      <c r="A1679" s="48">
        <v>1678</v>
      </c>
      <c r="B1679" s="49" t="s">
        <v>3370</v>
      </c>
      <c r="C1679" s="49" t="s">
        <v>3371</v>
      </c>
      <c r="D1679" s="53" t="s">
        <v>64</v>
      </c>
      <c r="E1679" s="53" t="s">
        <v>186</v>
      </c>
      <c r="F1679" s="45">
        <f t="shared" si="221"/>
        <v>0</v>
      </c>
      <c r="G1679" s="58">
        <f t="shared" si="224"/>
        <v>0</v>
      </c>
    </row>
    <row r="1680" spans="1:7" ht="15.75" hidden="1" x14ac:dyDescent="0.25">
      <c r="A1680" s="48">
        <v>1679</v>
      </c>
      <c r="B1680" s="49" t="s">
        <v>3372</v>
      </c>
      <c r="C1680" s="49" t="s">
        <v>3373</v>
      </c>
      <c r="D1680" s="53" t="s">
        <v>64</v>
      </c>
      <c r="E1680" s="53" t="s">
        <v>186</v>
      </c>
      <c r="F1680" s="45">
        <f t="shared" si="221"/>
        <v>0</v>
      </c>
      <c r="G1680" s="58">
        <f t="shared" si="224"/>
        <v>0</v>
      </c>
    </row>
    <row r="1681" spans="1:7" ht="15.75" hidden="1" x14ac:dyDescent="0.25">
      <c r="A1681" s="48">
        <v>1680</v>
      </c>
      <c r="B1681" s="49" t="s">
        <v>3374</v>
      </c>
      <c r="C1681" s="49" t="s">
        <v>3375</v>
      </c>
      <c r="D1681" s="53" t="s">
        <v>64</v>
      </c>
      <c r="E1681" s="53" t="s">
        <v>186</v>
      </c>
      <c r="F1681" s="45">
        <f t="shared" si="221"/>
        <v>0</v>
      </c>
      <c r="G1681" s="58">
        <f t="shared" si="224"/>
        <v>0</v>
      </c>
    </row>
    <row r="1682" spans="1:7" ht="15.75" hidden="1" x14ac:dyDescent="0.25">
      <c r="A1682" s="48">
        <v>1681</v>
      </c>
      <c r="B1682" s="49" t="s">
        <v>3376</v>
      </c>
      <c r="C1682" s="49" t="s">
        <v>3377</v>
      </c>
      <c r="D1682" s="53" t="s">
        <v>64</v>
      </c>
      <c r="E1682" s="53" t="s">
        <v>186</v>
      </c>
      <c r="F1682" s="45">
        <f t="shared" si="221"/>
        <v>0</v>
      </c>
      <c r="G1682" s="58">
        <f t="shared" si="224"/>
        <v>0</v>
      </c>
    </row>
    <row r="1683" spans="1:7" ht="15.75" hidden="1" x14ac:dyDescent="0.25">
      <c r="A1683" s="48">
        <v>1682</v>
      </c>
      <c r="B1683" s="49" t="s">
        <v>3378</v>
      </c>
      <c r="C1683" s="49" t="s">
        <v>3379</v>
      </c>
      <c r="D1683" s="53" t="s">
        <v>47</v>
      </c>
      <c r="E1683" s="53" t="s">
        <v>116</v>
      </c>
      <c r="F1683" s="45">
        <f t="shared" ref="F1683:F1685" si="225">SUM($H1683:$P1683)</f>
        <v>0</v>
      </c>
      <c r="G1683" s="58">
        <f t="shared" si="224"/>
        <v>0</v>
      </c>
    </row>
    <row r="1684" spans="1:7" ht="15.75" hidden="1" x14ac:dyDescent="0.25">
      <c r="A1684" s="48">
        <v>1683</v>
      </c>
      <c r="B1684" s="49" t="s">
        <v>3380</v>
      </c>
      <c r="C1684" s="49" t="s">
        <v>3381</v>
      </c>
      <c r="D1684" s="53" t="s">
        <v>47</v>
      </c>
      <c r="E1684" s="53" t="s">
        <v>116</v>
      </c>
      <c r="F1684" s="45">
        <f t="shared" si="225"/>
        <v>0</v>
      </c>
      <c r="G1684" s="58">
        <f t="shared" si="224"/>
        <v>0</v>
      </c>
    </row>
    <row r="1685" spans="1:7" ht="15.75" hidden="1" x14ac:dyDescent="0.25">
      <c r="A1685" s="48">
        <v>1684</v>
      </c>
      <c r="B1685" s="49" t="s">
        <v>3382</v>
      </c>
      <c r="C1685" s="49" t="s">
        <v>3383</v>
      </c>
      <c r="D1685" s="53" t="s">
        <v>47</v>
      </c>
      <c r="E1685" s="53" t="s">
        <v>48</v>
      </c>
      <c r="F1685" s="45">
        <f t="shared" si="225"/>
        <v>0</v>
      </c>
      <c r="G1685" s="58">
        <f t="shared" si="224"/>
        <v>0</v>
      </c>
    </row>
    <row r="1686" spans="1:7" ht="15.75" hidden="1" x14ac:dyDescent="0.25">
      <c r="A1686" s="48">
        <v>1685</v>
      </c>
      <c r="B1686" s="49" t="s">
        <v>3384</v>
      </c>
      <c r="C1686" s="49" t="s">
        <v>3385</v>
      </c>
      <c r="D1686" s="53" t="s">
        <v>64</v>
      </c>
      <c r="E1686" s="53" t="s">
        <v>186</v>
      </c>
      <c r="F1686" s="45">
        <f t="shared" si="221"/>
        <v>0</v>
      </c>
      <c r="G1686" s="58">
        <f t="shared" si="224"/>
        <v>0</v>
      </c>
    </row>
    <row r="1687" spans="1:7" ht="15.75" hidden="1" x14ac:dyDescent="0.25">
      <c r="A1687" s="48">
        <v>1686</v>
      </c>
      <c r="B1687" s="49" t="s">
        <v>3386</v>
      </c>
      <c r="C1687" s="49" t="s">
        <v>3387</v>
      </c>
      <c r="D1687" s="53" t="s">
        <v>47</v>
      </c>
      <c r="E1687" s="53" t="s">
        <v>51</v>
      </c>
      <c r="F1687" s="45">
        <f t="shared" ref="F1687:F1692" si="226">SUM($H1687:$P1687)</f>
        <v>0</v>
      </c>
      <c r="G1687" s="58">
        <f t="shared" si="224"/>
        <v>0</v>
      </c>
    </row>
    <row r="1688" spans="1:7" ht="15.75" hidden="1" x14ac:dyDescent="0.25">
      <c r="A1688" s="48">
        <v>1687</v>
      </c>
      <c r="B1688" s="49" t="s">
        <v>3388</v>
      </c>
      <c r="C1688" s="49" t="s">
        <v>3389</v>
      </c>
      <c r="D1688" s="53" t="s">
        <v>47</v>
      </c>
      <c r="E1688" s="53" t="s">
        <v>51</v>
      </c>
      <c r="F1688" s="45">
        <f t="shared" si="226"/>
        <v>0</v>
      </c>
      <c r="G1688" s="58">
        <f t="shared" si="224"/>
        <v>0</v>
      </c>
    </row>
    <row r="1689" spans="1:7" ht="15.75" hidden="1" x14ac:dyDescent="0.25">
      <c r="A1689" s="48">
        <v>1688</v>
      </c>
      <c r="B1689" s="49" t="s">
        <v>3390</v>
      </c>
      <c r="C1689" s="49" t="s">
        <v>3391</v>
      </c>
      <c r="D1689" s="53" t="s">
        <v>47</v>
      </c>
      <c r="E1689" s="53" t="s">
        <v>48</v>
      </c>
      <c r="F1689" s="45">
        <f t="shared" si="226"/>
        <v>0</v>
      </c>
      <c r="G1689" s="58">
        <f t="shared" si="224"/>
        <v>0</v>
      </c>
    </row>
    <row r="1690" spans="1:7" ht="15.75" hidden="1" x14ac:dyDescent="0.25">
      <c r="A1690" s="48">
        <v>1689</v>
      </c>
      <c r="B1690" s="49" t="s">
        <v>3392</v>
      </c>
      <c r="C1690" s="49" t="s">
        <v>3393</v>
      </c>
      <c r="D1690" s="53" t="s">
        <v>47</v>
      </c>
      <c r="E1690" s="53" t="s">
        <v>48</v>
      </c>
      <c r="F1690" s="45">
        <f t="shared" si="226"/>
        <v>0</v>
      </c>
      <c r="G1690" s="58">
        <f t="shared" si="224"/>
        <v>0</v>
      </c>
    </row>
    <row r="1691" spans="1:7" ht="15.75" hidden="1" x14ac:dyDescent="0.25">
      <c r="A1691" s="48">
        <v>1690</v>
      </c>
      <c r="B1691" s="49" t="s">
        <v>3394</v>
      </c>
      <c r="C1691" s="49" t="s">
        <v>3395</v>
      </c>
      <c r="D1691" s="53" t="s">
        <v>47</v>
      </c>
      <c r="E1691" s="53" t="s">
        <v>48</v>
      </c>
      <c r="F1691" s="45">
        <f t="shared" si="226"/>
        <v>0</v>
      </c>
      <c r="G1691" s="58">
        <f t="shared" si="224"/>
        <v>0</v>
      </c>
    </row>
    <row r="1692" spans="1:7" ht="15.75" hidden="1" x14ac:dyDescent="0.25">
      <c r="A1692" s="48">
        <v>1691</v>
      </c>
      <c r="B1692" s="49" t="s">
        <v>3396</v>
      </c>
      <c r="C1692" s="49" t="s">
        <v>3397</v>
      </c>
      <c r="D1692" s="53" t="s">
        <v>47</v>
      </c>
      <c r="E1692" s="53" t="s">
        <v>48</v>
      </c>
      <c r="F1692" s="45">
        <f t="shared" si="226"/>
        <v>0</v>
      </c>
      <c r="G1692" s="58">
        <f t="shared" si="224"/>
        <v>0</v>
      </c>
    </row>
    <row r="1693" spans="1:7" ht="15.75" hidden="1" x14ac:dyDescent="0.25">
      <c r="A1693" s="48">
        <v>1692</v>
      </c>
      <c r="B1693" s="49" t="s">
        <v>3398</v>
      </c>
      <c r="C1693" s="49" t="s">
        <v>3399</v>
      </c>
      <c r="D1693" s="53" t="s">
        <v>64</v>
      </c>
      <c r="E1693" s="53" t="s">
        <v>65</v>
      </c>
      <c r="F1693" s="45">
        <f t="shared" si="221"/>
        <v>0</v>
      </c>
      <c r="G1693" s="58">
        <f t="shared" si="224"/>
        <v>0</v>
      </c>
    </row>
    <row r="1694" spans="1:7" ht="15.75" hidden="1" x14ac:dyDescent="0.25">
      <c r="A1694" s="48">
        <v>1693</v>
      </c>
      <c r="B1694" s="49" t="s">
        <v>3400</v>
      </c>
      <c r="C1694" s="49" t="s">
        <v>3401</v>
      </c>
      <c r="D1694" s="53" t="s">
        <v>47</v>
      </c>
      <c r="E1694" s="53" t="s">
        <v>48</v>
      </c>
      <c r="F1694" s="45">
        <f>SUM($H1694:$P1694)</f>
        <v>0</v>
      </c>
      <c r="G1694" s="58">
        <f t="shared" si="224"/>
        <v>0</v>
      </c>
    </row>
    <row r="1695" spans="1:7" ht="15.75" hidden="1" x14ac:dyDescent="0.25">
      <c r="A1695" s="48">
        <v>1694</v>
      </c>
      <c r="B1695" s="49" t="s">
        <v>3402</v>
      </c>
      <c r="C1695" s="49" t="s">
        <v>3403</v>
      </c>
      <c r="D1695" s="53" t="s">
        <v>64</v>
      </c>
      <c r="E1695" s="53" t="s">
        <v>186</v>
      </c>
      <c r="F1695" s="45">
        <f t="shared" si="221"/>
        <v>0</v>
      </c>
      <c r="G1695" s="58">
        <f t="shared" si="224"/>
        <v>0</v>
      </c>
    </row>
    <row r="1696" spans="1:7" ht="15.75" hidden="1" x14ac:dyDescent="0.25">
      <c r="A1696" s="48">
        <v>1695</v>
      </c>
      <c r="B1696" s="49" t="s">
        <v>3404</v>
      </c>
      <c r="C1696" s="49" t="s">
        <v>3405</v>
      </c>
      <c r="D1696" s="53" t="s">
        <v>47</v>
      </c>
      <c r="E1696" s="53" t="s">
        <v>48</v>
      </c>
      <c r="F1696" s="45">
        <f t="shared" ref="F1696:F1703" si="227">SUM($H1696:$P1696)</f>
        <v>0</v>
      </c>
      <c r="G1696" s="58">
        <f t="shared" si="224"/>
        <v>0</v>
      </c>
    </row>
    <row r="1697" spans="1:7" ht="15.75" hidden="1" x14ac:dyDescent="0.25">
      <c r="A1697" s="48">
        <v>1696</v>
      </c>
      <c r="B1697" s="49" t="s">
        <v>3406</v>
      </c>
      <c r="C1697" s="49" t="s">
        <v>3407</v>
      </c>
      <c r="D1697" s="53" t="s">
        <v>47</v>
      </c>
      <c r="E1697" s="53" t="s">
        <v>48</v>
      </c>
      <c r="F1697" s="45">
        <f t="shared" si="227"/>
        <v>0</v>
      </c>
      <c r="G1697" s="58">
        <f t="shared" si="224"/>
        <v>0</v>
      </c>
    </row>
    <row r="1698" spans="1:7" ht="15.75" hidden="1" x14ac:dyDescent="0.25">
      <c r="A1698" s="48">
        <v>1697</v>
      </c>
      <c r="B1698" s="49" t="s">
        <v>3408</v>
      </c>
      <c r="C1698" s="49" t="s">
        <v>3409</v>
      </c>
      <c r="D1698" s="53" t="s">
        <v>47</v>
      </c>
      <c r="E1698" s="53" t="s">
        <v>48</v>
      </c>
      <c r="F1698" s="45">
        <f t="shared" si="227"/>
        <v>0</v>
      </c>
      <c r="G1698" s="58">
        <f t="shared" si="224"/>
        <v>0</v>
      </c>
    </row>
    <row r="1699" spans="1:7" ht="15.75" hidden="1" x14ac:dyDescent="0.25">
      <c r="A1699" s="48">
        <v>1698</v>
      </c>
      <c r="B1699" s="49" t="s">
        <v>3410</v>
      </c>
      <c r="C1699" s="49" t="s">
        <v>3411</v>
      </c>
      <c r="D1699" s="53" t="s">
        <v>47</v>
      </c>
      <c r="E1699" s="53" t="s">
        <v>48</v>
      </c>
      <c r="F1699" s="45">
        <f t="shared" si="227"/>
        <v>0</v>
      </c>
      <c r="G1699" s="58">
        <f t="shared" si="224"/>
        <v>0</v>
      </c>
    </row>
    <row r="1700" spans="1:7" ht="15.75" hidden="1" x14ac:dyDescent="0.25">
      <c r="A1700" s="48">
        <v>1699</v>
      </c>
      <c r="B1700" s="49" t="s">
        <v>3412</v>
      </c>
      <c r="C1700" s="49" t="s">
        <v>3413</v>
      </c>
      <c r="D1700" s="53" t="s">
        <v>47</v>
      </c>
      <c r="E1700" s="53" t="s">
        <v>48</v>
      </c>
      <c r="F1700" s="45">
        <f t="shared" si="227"/>
        <v>0</v>
      </c>
      <c r="G1700" s="58">
        <f t="shared" si="224"/>
        <v>0</v>
      </c>
    </row>
    <row r="1701" spans="1:7" ht="15.75" hidden="1" x14ac:dyDescent="0.25">
      <c r="A1701" s="48">
        <v>1700</v>
      </c>
      <c r="B1701" s="49" t="s">
        <v>3414</v>
      </c>
      <c r="C1701" s="49" t="s">
        <v>3415</v>
      </c>
      <c r="D1701" s="53" t="s">
        <v>47</v>
      </c>
      <c r="E1701" s="53" t="s">
        <v>48</v>
      </c>
      <c r="F1701" s="45">
        <f t="shared" si="227"/>
        <v>0</v>
      </c>
      <c r="G1701" s="58">
        <f t="shared" si="224"/>
        <v>0</v>
      </c>
    </row>
    <row r="1702" spans="1:7" ht="15.75" hidden="1" x14ac:dyDescent="0.25">
      <c r="A1702" s="48">
        <v>1701</v>
      </c>
      <c r="B1702" s="49" t="s">
        <v>3416</v>
      </c>
      <c r="C1702" s="49" t="s">
        <v>3417</v>
      </c>
      <c r="D1702" s="53" t="s">
        <v>47</v>
      </c>
      <c r="E1702" s="53" t="s">
        <v>48</v>
      </c>
      <c r="F1702" s="45">
        <f t="shared" si="227"/>
        <v>0</v>
      </c>
      <c r="G1702" s="58">
        <f t="shared" si="224"/>
        <v>0</v>
      </c>
    </row>
    <row r="1703" spans="1:7" ht="15.75" hidden="1" x14ac:dyDescent="0.25">
      <c r="A1703" s="48">
        <v>1702</v>
      </c>
      <c r="B1703" s="49" t="s">
        <v>3418</v>
      </c>
      <c r="C1703" s="49" t="s">
        <v>3419</v>
      </c>
      <c r="D1703" s="53" t="s">
        <v>47</v>
      </c>
      <c r="E1703" s="53" t="s">
        <v>61</v>
      </c>
      <c r="F1703" s="45">
        <f t="shared" si="227"/>
        <v>0</v>
      </c>
      <c r="G1703" s="58">
        <f t="shared" si="224"/>
        <v>0</v>
      </c>
    </row>
    <row r="1704" spans="1:7" ht="15.75" hidden="1" x14ac:dyDescent="0.25">
      <c r="A1704" s="48">
        <v>1703</v>
      </c>
      <c r="B1704" s="49" t="s">
        <v>3420</v>
      </c>
      <c r="C1704" s="49" t="s">
        <v>3421</v>
      </c>
      <c r="D1704" s="53" t="s">
        <v>64</v>
      </c>
      <c r="E1704" s="53" t="s">
        <v>186</v>
      </c>
      <c r="F1704" s="45">
        <f t="shared" si="221"/>
        <v>0</v>
      </c>
      <c r="G1704" s="58">
        <f t="shared" si="224"/>
        <v>0</v>
      </c>
    </row>
    <row r="1705" spans="1:7" ht="15.75" hidden="1" x14ac:dyDescent="0.25">
      <c r="A1705" s="48">
        <v>1704</v>
      </c>
      <c r="B1705" s="49" t="s">
        <v>3422</v>
      </c>
      <c r="C1705" s="49" t="s">
        <v>3423</v>
      </c>
      <c r="D1705" s="53" t="s">
        <v>64</v>
      </c>
      <c r="E1705" s="53" t="s">
        <v>65</v>
      </c>
      <c r="F1705" s="45">
        <f t="shared" si="221"/>
        <v>0</v>
      </c>
      <c r="G1705" s="58">
        <f t="shared" si="224"/>
        <v>0</v>
      </c>
    </row>
    <row r="1706" spans="1:7" ht="15.75" hidden="1" x14ac:dyDescent="0.25">
      <c r="A1706" s="48">
        <v>1705</v>
      </c>
      <c r="B1706" s="49" t="s">
        <v>3424</v>
      </c>
      <c r="C1706" s="49" t="s">
        <v>3425</v>
      </c>
      <c r="D1706" s="53" t="s">
        <v>64</v>
      </c>
      <c r="E1706" s="53" t="s">
        <v>186</v>
      </c>
      <c r="F1706" s="45">
        <f t="shared" si="221"/>
        <v>0</v>
      </c>
      <c r="G1706" s="58">
        <f t="shared" si="224"/>
        <v>0</v>
      </c>
    </row>
    <row r="1707" spans="1:7" ht="15.75" hidden="1" x14ac:dyDescent="0.25">
      <c r="A1707" s="48">
        <v>1706</v>
      </c>
      <c r="B1707" s="49" t="s">
        <v>3426</v>
      </c>
      <c r="C1707" s="49" t="s">
        <v>3427</v>
      </c>
      <c r="D1707" s="53" t="s">
        <v>64</v>
      </c>
      <c r="E1707" s="53" t="s">
        <v>65</v>
      </c>
      <c r="F1707" s="45">
        <f t="shared" si="221"/>
        <v>0</v>
      </c>
      <c r="G1707" s="58">
        <f t="shared" si="224"/>
        <v>0</v>
      </c>
    </row>
    <row r="1708" spans="1:7" ht="15.75" hidden="1" x14ac:dyDescent="0.25">
      <c r="A1708" s="48">
        <v>1707</v>
      </c>
      <c r="B1708" s="49" t="s">
        <v>3428</v>
      </c>
      <c r="C1708" s="49" t="s">
        <v>3429</v>
      </c>
      <c r="D1708" s="53" t="s">
        <v>64</v>
      </c>
      <c r="E1708" s="53" t="s">
        <v>186</v>
      </c>
      <c r="F1708" s="45">
        <f t="shared" si="221"/>
        <v>0</v>
      </c>
      <c r="G1708" s="58">
        <f t="shared" si="224"/>
        <v>0</v>
      </c>
    </row>
    <row r="1709" spans="1:7" ht="15.75" hidden="1" x14ac:dyDescent="0.25">
      <c r="A1709" s="48">
        <v>1708</v>
      </c>
      <c r="B1709" s="49" t="s">
        <v>3430</v>
      </c>
      <c r="C1709" s="49" t="s">
        <v>3431</v>
      </c>
      <c r="D1709" s="53" t="s">
        <v>64</v>
      </c>
      <c r="E1709" s="53" t="s">
        <v>186</v>
      </c>
      <c r="F1709" s="45">
        <f t="shared" si="221"/>
        <v>0</v>
      </c>
      <c r="G1709" s="58">
        <f t="shared" si="224"/>
        <v>0</v>
      </c>
    </row>
    <row r="1710" spans="1:7" ht="15.75" hidden="1" x14ac:dyDescent="0.25">
      <c r="A1710" s="48">
        <v>1709</v>
      </c>
      <c r="B1710" s="49" t="s">
        <v>3432</v>
      </c>
      <c r="C1710" s="49" t="s">
        <v>3433</v>
      </c>
      <c r="D1710" s="53" t="s">
        <v>64</v>
      </c>
      <c r="E1710" s="53" t="s">
        <v>186</v>
      </c>
      <c r="F1710" s="45">
        <f t="shared" si="221"/>
        <v>0</v>
      </c>
      <c r="G1710" s="58">
        <f t="shared" si="224"/>
        <v>0</v>
      </c>
    </row>
    <row r="1711" spans="1:7" ht="15.75" hidden="1" x14ac:dyDescent="0.25">
      <c r="A1711" s="48">
        <v>1710</v>
      </c>
      <c r="B1711" s="49" t="s">
        <v>3434</v>
      </c>
      <c r="C1711" s="49" t="s">
        <v>3435</v>
      </c>
      <c r="D1711" s="53" t="s">
        <v>64</v>
      </c>
      <c r="E1711" s="53" t="s">
        <v>186</v>
      </c>
      <c r="F1711" s="45">
        <f t="shared" si="221"/>
        <v>0</v>
      </c>
      <c r="G1711" s="58">
        <f t="shared" si="224"/>
        <v>0</v>
      </c>
    </row>
    <row r="1712" spans="1:7" ht="15.75" hidden="1" x14ac:dyDescent="0.25">
      <c r="A1712" s="48">
        <v>1711</v>
      </c>
      <c r="B1712" s="49" t="s">
        <v>3436</v>
      </c>
      <c r="C1712" s="49" t="s">
        <v>3437</v>
      </c>
      <c r="D1712" s="53" t="s">
        <v>64</v>
      </c>
      <c r="E1712" s="53" t="s">
        <v>186</v>
      </c>
      <c r="F1712" s="45">
        <f t="shared" si="221"/>
        <v>0</v>
      </c>
      <c r="G1712" s="58">
        <f t="shared" si="224"/>
        <v>0</v>
      </c>
    </row>
    <row r="1713" spans="1:7" ht="15.75" hidden="1" x14ac:dyDescent="0.25">
      <c r="A1713" s="48">
        <v>1712</v>
      </c>
      <c r="B1713" s="49" t="s">
        <v>3438</v>
      </c>
      <c r="C1713" s="49" t="s">
        <v>3439</v>
      </c>
      <c r="D1713" s="53" t="s">
        <v>64</v>
      </c>
      <c r="E1713" s="53" t="s">
        <v>186</v>
      </c>
      <c r="F1713" s="45">
        <f t="shared" si="221"/>
        <v>0</v>
      </c>
      <c r="G1713" s="58">
        <f t="shared" si="224"/>
        <v>0</v>
      </c>
    </row>
    <row r="1714" spans="1:7" ht="15.75" hidden="1" x14ac:dyDescent="0.25">
      <c r="A1714" s="48">
        <v>1713</v>
      </c>
      <c r="B1714" s="49" t="s">
        <v>3440</v>
      </c>
      <c r="C1714" s="49" t="s">
        <v>3441</v>
      </c>
      <c r="D1714" s="53" t="s">
        <v>64</v>
      </c>
      <c r="E1714" s="53" t="s">
        <v>186</v>
      </c>
      <c r="F1714" s="45">
        <f t="shared" si="221"/>
        <v>0</v>
      </c>
      <c r="G1714" s="58">
        <f t="shared" si="224"/>
        <v>0</v>
      </c>
    </row>
    <row r="1715" spans="1:7" ht="15.75" hidden="1" x14ac:dyDescent="0.25">
      <c r="A1715" s="48">
        <v>1714</v>
      </c>
      <c r="B1715" s="49" t="s">
        <v>3442</v>
      </c>
      <c r="C1715" s="49" t="s">
        <v>3443</v>
      </c>
      <c r="D1715" s="53" t="s">
        <v>64</v>
      </c>
      <c r="E1715" s="53" t="s">
        <v>186</v>
      </c>
      <c r="F1715" s="45">
        <f t="shared" si="221"/>
        <v>0</v>
      </c>
      <c r="G1715" s="58">
        <f t="shared" si="224"/>
        <v>0</v>
      </c>
    </row>
    <row r="1716" spans="1:7" ht="15.75" hidden="1" x14ac:dyDescent="0.25">
      <c r="A1716" s="48">
        <v>1715</v>
      </c>
      <c r="B1716" s="49" t="s">
        <v>3444</v>
      </c>
      <c r="C1716" s="49" t="s">
        <v>3445</v>
      </c>
      <c r="D1716" s="53" t="s">
        <v>47</v>
      </c>
      <c r="E1716" s="53" t="s">
        <v>48</v>
      </c>
      <c r="F1716" s="45">
        <f t="shared" ref="F1716:F1718" si="228">SUM($H1716:$P1716)</f>
        <v>0</v>
      </c>
      <c r="G1716" s="58">
        <f t="shared" si="224"/>
        <v>0</v>
      </c>
    </row>
    <row r="1717" spans="1:7" ht="15.75" hidden="1" x14ac:dyDescent="0.25">
      <c r="A1717" s="48">
        <v>1716</v>
      </c>
      <c r="B1717" s="49" t="s">
        <v>3446</v>
      </c>
      <c r="C1717" s="49" t="s">
        <v>3447</v>
      </c>
      <c r="D1717" s="53" t="s">
        <v>47</v>
      </c>
      <c r="E1717" s="53" t="s">
        <v>48</v>
      </c>
      <c r="F1717" s="45">
        <f t="shared" si="228"/>
        <v>0</v>
      </c>
      <c r="G1717" s="58">
        <f t="shared" si="224"/>
        <v>0</v>
      </c>
    </row>
    <row r="1718" spans="1:7" ht="15.75" hidden="1" x14ac:dyDescent="0.25">
      <c r="A1718" s="48">
        <v>1717</v>
      </c>
      <c r="B1718" s="49" t="s">
        <v>3448</v>
      </c>
      <c r="C1718" s="49" t="s">
        <v>3449</v>
      </c>
      <c r="D1718" s="53" t="s">
        <v>47</v>
      </c>
      <c r="E1718" s="53" t="s">
        <v>48</v>
      </c>
      <c r="F1718" s="45">
        <f t="shared" si="228"/>
        <v>0</v>
      </c>
      <c r="G1718" s="58">
        <f t="shared" si="224"/>
        <v>0</v>
      </c>
    </row>
    <row r="1719" spans="1:7" ht="15.75" hidden="1" x14ac:dyDescent="0.25">
      <c r="A1719" s="48">
        <v>1718</v>
      </c>
      <c r="B1719" s="49" t="s">
        <v>3450</v>
      </c>
      <c r="C1719" s="49" t="s">
        <v>3451</v>
      </c>
      <c r="D1719" s="53" t="s">
        <v>64</v>
      </c>
      <c r="E1719" s="53" t="s">
        <v>186</v>
      </c>
      <c r="F1719" s="45">
        <f t="shared" si="221"/>
        <v>0</v>
      </c>
      <c r="G1719" s="58">
        <f t="shared" si="224"/>
        <v>0</v>
      </c>
    </row>
    <row r="1720" spans="1:7" ht="15.75" hidden="1" x14ac:dyDescent="0.25">
      <c r="A1720" s="48">
        <v>1719</v>
      </c>
      <c r="B1720" s="49" t="s">
        <v>3452</v>
      </c>
      <c r="C1720" s="49" t="s">
        <v>3453</v>
      </c>
      <c r="D1720" s="53" t="s">
        <v>64</v>
      </c>
      <c r="E1720" s="53" t="s">
        <v>186</v>
      </c>
      <c r="F1720" s="45">
        <f t="shared" si="221"/>
        <v>0</v>
      </c>
      <c r="G1720" s="58">
        <f t="shared" si="224"/>
        <v>0</v>
      </c>
    </row>
    <row r="1721" spans="1:7" ht="15.75" hidden="1" x14ac:dyDescent="0.25">
      <c r="A1721" s="48">
        <v>1720</v>
      </c>
      <c r="B1721" s="49" t="s">
        <v>3454</v>
      </c>
      <c r="C1721" s="49" t="s">
        <v>3455</v>
      </c>
      <c r="D1721" s="53" t="s">
        <v>64</v>
      </c>
      <c r="E1721" s="53" t="s">
        <v>186</v>
      </c>
      <c r="F1721" s="45">
        <f t="shared" si="221"/>
        <v>0</v>
      </c>
      <c r="G1721" s="58">
        <f t="shared" si="224"/>
        <v>0</v>
      </c>
    </row>
    <row r="1722" spans="1:7" ht="15.75" hidden="1" x14ac:dyDescent="0.25">
      <c r="A1722" s="48">
        <v>1721</v>
      </c>
      <c r="B1722" s="49" t="s">
        <v>3456</v>
      </c>
      <c r="C1722" s="49" t="s">
        <v>3457</v>
      </c>
      <c r="D1722" s="53" t="s">
        <v>64</v>
      </c>
      <c r="E1722" s="53" t="s">
        <v>186</v>
      </c>
      <c r="F1722" s="45">
        <f t="shared" si="221"/>
        <v>0</v>
      </c>
      <c r="G1722" s="58">
        <f t="shared" si="224"/>
        <v>0</v>
      </c>
    </row>
    <row r="1723" spans="1:7" ht="15.75" hidden="1" x14ac:dyDescent="0.25">
      <c r="A1723" s="48">
        <v>1722</v>
      </c>
      <c r="B1723" s="49" t="s">
        <v>3458</v>
      </c>
      <c r="C1723" s="49" t="s">
        <v>3459</v>
      </c>
      <c r="D1723" s="53" t="s">
        <v>64</v>
      </c>
      <c r="E1723" s="53" t="s">
        <v>186</v>
      </c>
      <c r="F1723" s="45">
        <f t="shared" si="221"/>
        <v>0</v>
      </c>
      <c r="G1723" s="58">
        <f t="shared" si="224"/>
        <v>0</v>
      </c>
    </row>
    <row r="1724" spans="1:7" ht="15.75" hidden="1" x14ac:dyDescent="0.25">
      <c r="A1724" s="48">
        <v>1723</v>
      </c>
      <c r="B1724" s="49" t="s">
        <v>3460</v>
      </c>
      <c r="C1724" s="49" t="s">
        <v>3461</v>
      </c>
      <c r="D1724" s="53" t="s">
        <v>64</v>
      </c>
      <c r="E1724" s="53" t="s">
        <v>186</v>
      </c>
      <c r="F1724" s="45">
        <f t="shared" si="221"/>
        <v>0</v>
      </c>
      <c r="G1724" s="58">
        <f t="shared" si="224"/>
        <v>0</v>
      </c>
    </row>
    <row r="1725" spans="1:7" ht="15.75" hidden="1" x14ac:dyDescent="0.25">
      <c r="A1725" s="48">
        <v>1724</v>
      </c>
      <c r="B1725" s="49" t="s">
        <v>3462</v>
      </c>
      <c r="C1725" s="49" t="s">
        <v>3463</v>
      </c>
      <c r="D1725" s="53" t="s">
        <v>47</v>
      </c>
      <c r="E1725" s="53" t="s">
        <v>48</v>
      </c>
      <c r="F1725" s="45">
        <f t="shared" ref="F1725:F1726" si="229">SUM($H1725:$P1725)</f>
        <v>0</v>
      </c>
      <c r="G1725" s="58">
        <f t="shared" si="224"/>
        <v>0</v>
      </c>
    </row>
    <row r="1726" spans="1:7" ht="15.75" hidden="1" x14ac:dyDescent="0.25">
      <c r="A1726" s="48">
        <v>1725</v>
      </c>
      <c r="B1726" s="49" t="s">
        <v>3464</v>
      </c>
      <c r="C1726" s="49" t="s">
        <v>3465</v>
      </c>
      <c r="D1726" s="53" t="s">
        <v>47</v>
      </c>
      <c r="E1726" s="53" t="s">
        <v>48</v>
      </c>
      <c r="F1726" s="45">
        <f t="shared" si="229"/>
        <v>0</v>
      </c>
      <c r="G1726" s="58">
        <f t="shared" si="224"/>
        <v>0</v>
      </c>
    </row>
    <row r="1727" spans="1:7" ht="15.75" hidden="1" x14ac:dyDescent="0.25">
      <c r="A1727" s="48">
        <v>1726</v>
      </c>
      <c r="B1727" s="49" t="s">
        <v>3466</v>
      </c>
      <c r="C1727" s="49" t="s">
        <v>3467</v>
      </c>
      <c r="D1727" s="53" t="s">
        <v>64</v>
      </c>
      <c r="E1727" s="53" t="s">
        <v>186</v>
      </c>
      <c r="F1727" s="45">
        <f t="shared" si="221"/>
        <v>0</v>
      </c>
      <c r="G1727" s="58">
        <f t="shared" si="224"/>
        <v>0</v>
      </c>
    </row>
    <row r="1728" spans="1:7" ht="15.75" hidden="1" x14ac:dyDescent="0.25">
      <c r="A1728" s="48">
        <v>1727</v>
      </c>
      <c r="B1728" s="49" t="s">
        <v>3468</v>
      </c>
      <c r="C1728" s="49" t="s">
        <v>3469</v>
      </c>
      <c r="D1728" s="53" t="s">
        <v>64</v>
      </c>
      <c r="E1728" s="53" t="s">
        <v>65</v>
      </c>
      <c r="F1728" s="45">
        <f t="shared" si="221"/>
        <v>0</v>
      </c>
      <c r="G1728" s="58">
        <f t="shared" si="224"/>
        <v>0</v>
      </c>
    </row>
    <row r="1729" spans="1:7" ht="15.75" hidden="1" x14ac:dyDescent="0.25">
      <c r="A1729" s="48">
        <v>1728</v>
      </c>
      <c r="B1729" s="49" t="s">
        <v>3470</v>
      </c>
      <c r="C1729" s="49" t="s">
        <v>3471</v>
      </c>
      <c r="D1729" s="53" t="s">
        <v>64</v>
      </c>
      <c r="E1729" s="53" t="s">
        <v>186</v>
      </c>
      <c r="F1729" s="45">
        <f t="shared" si="221"/>
        <v>0</v>
      </c>
      <c r="G1729" s="58">
        <f t="shared" si="224"/>
        <v>0</v>
      </c>
    </row>
    <row r="1730" spans="1:7" ht="15.75" hidden="1" x14ac:dyDescent="0.25">
      <c r="A1730" s="48">
        <v>1729</v>
      </c>
      <c r="B1730" s="49" t="s">
        <v>3472</v>
      </c>
      <c r="C1730" s="49" t="s">
        <v>3473</v>
      </c>
      <c r="D1730" s="53" t="s">
        <v>64</v>
      </c>
      <c r="E1730" s="53" t="s">
        <v>186</v>
      </c>
      <c r="F1730" s="45">
        <f t="shared" si="221"/>
        <v>0</v>
      </c>
      <c r="G1730" s="58">
        <f t="shared" si="224"/>
        <v>0</v>
      </c>
    </row>
    <row r="1731" spans="1:7" ht="15.75" hidden="1" x14ac:dyDescent="0.25">
      <c r="A1731" s="48">
        <v>1730</v>
      </c>
      <c r="B1731" s="49" t="s">
        <v>3474</v>
      </c>
      <c r="C1731" s="49" t="s">
        <v>3475</v>
      </c>
      <c r="D1731" s="53" t="s">
        <v>64</v>
      </c>
      <c r="E1731" s="53" t="s">
        <v>186</v>
      </c>
      <c r="F1731" s="45">
        <f t="shared" ref="F1731:F1786" si="230">SUM($H1731:$K1731)</f>
        <v>0</v>
      </c>
      <c r="G1731" s="58">
        <f t="shared" si="224"/>
        <v>0</v>
      </c>
    </row>
    <row r="1732" spans="1:7" ht="15.75" hidden="1" x14ac:dyDescent="0.25">
      <c r="A1732" s="48">
        <v>1731</v>
      </c>
      <c r="B1732" s="49" t="s">
        <v>3476</v>
      </c>
      <c r="C1732" s="49" t="s">
        <v>3477</v>
      </c>
      <c r="D1732" s="53" t="s">
        <v>64</v>
      </c>
      <c r="E1732" s="53" t="s">
        <v>186</v>
      </c>
      <c r="F1732" s="45">
        <f t="shared" si="230"/>
        <v>0</v>
      </c>
      <c r="G1732" s="58">
        <f t="shared" si="224"/>
        <v>0</v>
      </c>
    </row>
    <row r="1733" spans="1:7" ht="15.75" hidden="1" x14ac:dyDescent="0.25">
      <c r="A1733" s="48">
        <v>1732</v>
      </c>
      <c r="B1733" s="49" t="s">
        <v>3478</v>
      </c>
      <c r="C1733" s="49" t="s">
        <v>3479</v>
      </c>
      <c r="D1733" s="53" t="s">
        <v>64</v>
      </c>
      <c r="E1733" s="53" t="s">
        <v>186</v>
      </c>
      <c r="F1733" s="45">
        <f t="shared" si="230"/>
        <v>0</v>
      </c>
      <c r="G1733" s="58">
        <f t="shared" si="224"/>
        <v>0</v>
      </c>
    </row>
    <row r="1734" spans="1:7" ht="15.75" hidden="1" x14ac:dyDescent="0.25">
      <c r="A1734" s="48">
        <v>1733</v>
      </c>
      <c r="B1734" s="49" t="s">
        <v>3480</v>
      </c>
      <c r="C1734" s="49" t="s">
        <v>3481</v>
      </c>
      <c r="D1734" s="53" t="s">
        <v>64</v>
      </c>
      <c r="E1734" s="53" t="s">
        <v>65</v>
      </c>
      <c r="F1734" s="45">
        <f t="shared" si="230"/>
        <v>0</v>
      </c>
      <c r="G1734" s="58">
        <f t="shared" si="224"/>
        <v>0</v>
      </c>
    </row>
    <row r="1735" spans="1:7" ht="15.75" hidden="1" x14ac:dyDescent="0.25">
      <c r="A1735" s="48">
        <v>1734</v>
      </c>
      <c r="B1735" s="49" t="s">
        <v>3482</v>
      </c>
      <c r="C1735" s="49" t="s">
        <v>3483</v>
      </c>
      <c r="D1735" s="53" t="s">
        <v>64</v>
      </c>
      <c r="E1735" s="53" t="s">
        <v>186</v>
      </c>
      <c r="F1735" s="45">
        <f t="shared" si="230"/>
        <v>0</v>
      </c>
      <c r="G1735" s="58">
        <f t="shared" si="224"/>
        <v>0</v>
      </c>
    </row>
    <row r="1736" spans="1:7" ht="15.75" hidden="1" x14ac:dyDescent="0.25">
      <c r="A1736" s="48">
        <v>1735</v>
      </c>
      <c r="B1736" s="49" t="s">
        <v>3484</v>
      </c>
      <c r="C1736" s="49" t="s">
        <v>3485</v>
      </c>
      <c r="D1736" s="53" t="s">
        <v>64</v>
      </c>
      <c r="E1736" s="53" t="s">
        <v>186</v>
      </c>
      <c r="F1736" s="45">
        <f t="shared" si="230"/>
        <v>0</v>
      </c>
      <c r="G1736" s="58">
        <f t="shared" si="224"/>
        <v>0</v>
      </c>
    </row>
    <row r="1737" spans="1:7" ht="15.75" hidden="1" x14ac:dyDescent="0.25">
      <c r="A1737" s="48">
        <v>1736</v>
      </c>
      <c r="B1737" s="49" t="s">
        <v>3486</v>
      </c>
      <c r="C1737" s="49" t="s">
        <v>3487</v>
      </c>
      <c r="D1737" s="53" t="s">
        <v>64</v>
      </c>
      <c r="E1737" s="53" t="s">
        <v>186</v>
      </c>
      <c r="F1737" s="45">
        <f t="shared" si="230"/>
        <v>0</v>
      </c>
      <c r="G1737" s="58">
        <f t="shared" si="224"/>
        <v>0</v>
      </c>
    </row>
    <row r="1738" spans="1:7" ht="15.75" hidden="1" x14ac:dyDescent="0.25">
      <c r="A1738" s="48">
        <v>1737</v>
      </c>
      <c r="B1738" s="49" t="s">
        <v>3488</v>
      </c>
      <c r="C1738" s="49" t="s">
        <v>3489</v>
      </c>
      <c r="D1738" s="53" t="s">
        <v>64</v>
      </c>
      <c r="E1738" s="53" t="s">
        <v>186</v>
      </c>
      <c r="F1738" s="45">
        <f t="shared" si="230"/>
        <v>0</v>
      </c>
      <c r="G1738" s="58">
        <f t="shared" si="224"/>
        <v>0</v>
      </c>
    </row>
    <row r="1739" spans="1:7" ht="15.75" hidden="1" x14ac:dyDescent="0.25">
      <c r="A1739" s="48">
        <v>1738</v>
      </c>
      <c r="B1739" s="49" t="s">
        <v>3490</v>
      </c>
      <c r="C1739" s="49" t="s">
        <v>3491</v>
      </c>
      <c r="D1739" s="53" t="s">
        <v>64</v>
      </c>
      <c r="E1739" s="53" t="s">
        <v>186</v>
      </c>
      <c r="F1739" s="45">
        <f t="shared" si="230"/>
        <v>0</v>
      </c>
      <c r="G1739" s="58">
        <f t="shared" si="224"/>
        <v>0</v>
      </c>
    </row>
    <row r="1740" spans="1:7" ht="15.75" hidden="1" x14ac:dyDescent="0.25">
      <c r="A1740" s="48">
        <v>1739</v>
      </c>
      <c r="B1740" s="49" t="s">
        <v>3492</v>
      </c>
      <c r="C1740" s="49" t="s">
        <v>3493</v>
      </c>
      <c r="D1740" s="53" t="s">
        <v>64</v>
      </c>
      <c r="E1740" s="53" t="s">
        <v>186</v>
      </c>
      <c r="F1740" s="45">
        <f t="shared" si="230"/>
        <v>0</v>
      </c>
      <c r="G1740" s="58">
        <f t="shared" si="224"/>
        <v>0</v>
      </c>
    </row>
    <row r="1741" spans="1:7" ht="15.75" hidden="1" x14ac:dyDescent="0.25">
      <c r="A1741" s="48">
        <v>1740</v>
      </c>
      <c r="B1741" s="49" t="s">
        <v>3494</v>
      </c>
      <c r="C1741" s="49" t="s">
        <v>3495</v>
      </c>
      <c r="D1741" s="53" t="s">
        <v>64</v>
      </c>
      <c r="E1741" s="53" t="s">
        <v>186</v>
      </c>
      <c r="F1741" s="45">
        <f t="shared" si="230"/>
        <v>0</v>
      </c>
      <c r="G1741" s="58">
        <f t="shared" ref="G1741:G1786" si="231">F1741/60</f>
        <v>0</v>
      </c>
    </row>
    <row r="1742" spans="1:7" ht="15.75" hidden="1" x14ac:dyDescent="0.25">
      <c r="A1742" s="48">
        <v>1741</v>
      </c>
      <c r="B1742" s="49" t="s">
        <v>3496</v>
      </c>
      <c r="C1742" s="49" t="s">
        <v>3497</v>
      </c>
      <c r="D1742" s="53" t="s">
        <v>64</v>
      </c>
      <c r="E1742" s="53" t="s">
        <v>186</v>
      </c>
      <c r="F1742" s="45">
        <f t="shared" si="230"/>
        <v>0</v>
      </c>
      <c r="G1742" s="58">
        <f t="shared" si="231"/>
        <v>0</v>
      </c>
    </row>
    <row r="1743" spans="1:7" ht="15.75" hidden="1" x14ac:dyDescent="0.25">
      <c r="A1743" s="48">
        <v>1742</v>
      </c>
      <c r="B1743" s="49" t="s">
        <v>3498</v>
      </c>
      <c r="C1743" s="49" t="s">
        <v>3499</v>
      </c>
      <c r="D1743" s="53" t="s">
        <v>64</v>
      </c>
      <c r="E1743" s="53" t="s">
        <v>186</v>
      </c>
      <c r="F1743" s="45">
        <f t="shared" si="230"/>
        <v>0</v>
      </c>
      <c r="G1743" s="58">
        <f t="shared" si="231"/>
        <v>0</v>
      </c>
    </row>
    <row r="1744" spans="1:7" ht="15.75" hidden="1" x14ac:dyDescent="0.25">
      <c r="A1744" s="48">
        <v>1743</v>
      </c>
      <c r="B1744" s="49" t="s">
        <v>3500</v>
      </c>
      <c r="C1744" s="49" t="s">
        <v>3501</v>
      </c>
      <c r="D1744" s="53" t="s">
        <v>64</v>
      </c>
      <c r="E1744" s="53" t="s">
        <v>186</v>
      </c>
      <c r="F1744" s="45">
        <f t="shared" si="230"/>
        <v>0</v>
      </c>
      <c r="G1744" s="58">
        <f t="shared" si="231"/>
        <v>0</v>
      </c>
    </row>
    <row r="1745" spans="1:7" ht="15.75" hidden="1" x14ac:dyDescent="0.25">
      <c r="A1745" s="48">
        <v>1744</v>
      </c>
      <c r="B1745" s="49" t="s">
        <v>3502</v>
      </c>
      <c r="C1745" s="49" t="s">
        <v>3503</v>
      </c>
      <c r="D1745" s="53" t="s">
        <v>64</v>
      </c>
      <c r="E1745" s="53" t="s">
        <v>186</v>
      </c>
      <c r="F1745" s="45">
        <f t="shared" si="230"/>
        <v>0</v>
      </c>
      <c r="G1745" s="58">
        <f t="shared" si="231"/>
        <v>0</v>
      </c>
    </row>
    <row r="1746" spans="1:7" ht="15.75" hidden="1" x14ac:dyDescent="0.25">
      <c r="A1746" s="48">
        <v>1745</v>
      </c>
      <c r="B1746" s="49" t="s">
        <v>3504</v>
      </c>
      <c r="C1746" s="49" t="s">
        <v>3505</v>
      </c>
      <c r="D1746" s="53" t="s">
        <v>64</v>
      </c>
      <c r="E1746" s="53" t="s">
        <v>186</v>
      </c>
      <c r="F1746" s="45">
        <f t="shared" si="230"/>
        <v>0</v>
      </c>
      <c r="G1746" s="58">
        <f t="shared" si="231"/>
        <v>0</v>
      </c>
    </row>
    <row r="1747" spans="1:7" ht="15.75" hidden="1" x14ac:dyDescent="0.25">
      <c r="A1747" s="48">
        <v>1746</v>
      </c>
      <c r="B1747" s="49" t="s">
        <v>3506</v>
      </c>
      <c r="C1747" s="49" t="s">
        <v>3507</v>
      </c>
      <c r="D1747" s="53" t="s">
        <v>64</v>
      </c>
      <c r="E1747" s="53" t="s">
        <v>186</v>
      </c>
      <c r="F1747" s="45">
        <f t="shared" si="230"/>
        <v>0</v>
      </c>
      <c r="G1747" s="58">
        <f t="shared" si="231"/>
        <v>0</v>
      </c>
    </row>
    <row r="1748" spans="1:7" ht="15.75" hidden="1" x14ac:dyDescent="0.25">
      <c r="A1748" s="48">
        <v>1747</v>
      </c>
      <c r="B1748" s="49" t="s">
        <v>3508</v>
      </c>
      <c r="C1748" s="49" t="s">
        <v>3509</v>
      </c>
      <c r="D1748" s="53" t="s">
        <v>64</v>
      </c>
      <c r="E1748" s="53" t="s">
        <v>186</v>
      </c>
      <c r="F1748" s="45">
        <f t="shared" si="230"/>
        <v>0</v>
      </c>
      <c r="G1748" s="58">
        <f t="shared" si="231"/>
        <v>0</v>
      </c>
    </row>
    <row r="1749" spans="1:7" ht="15.75" hidden="1" x14ac:dyDescent="0.25">
      <c r="A1749" s="48">
        <v>1748</v>
      </c>
      <c r="B1749" s="49" t="s">
        <v>3510</v>
      </c>
      <c r="C1749" s="49" t="s">
        <v>3511</v>
      </c>
      <c r="D1749" s="53" t="s">
        <v>64</v>
      </c>
      <c r="E1749" s="53" t="s">
        <v>186</v>
      </c>
      <c r="F1749" s="45">
        <f t="shared" si="230"/>
        <v>0</v>
      </c>
      <c r="G1749" s="58">
        <f t="shared" si="231"/>
        <v>0</v>
      </c>
    </row>
    <row r="1750" spans="1:7" ht="15.75" hidden="1" x14ac:dyDescent="0.25">
      <c r="A1750" s="48">
        <v>1749</v>
      </c>
      <c r="B1750" s="49" t="s">
        <v>3512</v>
      </c>
      <c r="C1750" s="49" t="s">
        <v>3513</v>
      </c>
      <c r="D1750" s="53" t="s">
        <v>47</v>
      </c>
      <c r="E1750" s="53" t="s">
        <v>86</v>
      </c>
      <c r="F1750" s="45">
        <f>SUM($H1750:$P1750)</f>
        <v>0</v>
      </c>
      <c r="G1750" s="58">
        <f t="shared" si="231"/>
        <v>0</v>
      </c>
    </row>
    <row r="1751" spans="1:7" ht="15.75" hidden="1" x14ac:dyDescent="0.25">
      <c r="A1751" s="48">
        <v>1750</v>
      </c>
      <c r="B1751" s="49" t="s">
        <v>3514</v>
      </c>
      <c r="C1751" s="49" t="s">
        <v>3515</v>
      </c>
      <c r="D1751" s="53" t="s">
        <v>64</v>
      </c>
      <c r="E1751" s="53" t="s">
        <v>186</v>
      </c>
      <c r="F1751" s="45">
        <f t="shared" si="230"/>
        <v>0</v>
      </c>
      <c r="G1751" s="58">
        <f t="shared" si="231"/>
        <v>0</v>
      </c>
    </row>
    <row r="1752" spans="1:7" ht="15.75" hidden="1" x14ac:dyDescent="0.25">
      <c r="A1752" s="48">
        <v>1751</v>
      </c>
      <c r="B1752" s="49" t="s">
        <v>3516</v>
      </c>
      <c r="C1752" s="49" t="s">
        <v>3517</v>
      </c>
      <c r="D1752" s="53" t="s">
        <v>47</v>
      </c>
      <c r="E1752" s="53" t="s">
        <v>105</v>
      </c>
      <c r="F1752" s="45">
        <f t="shared" ref="F1752:F1754" si="232">SUM($H1752:$P1752)</f>
        <v>0</v>
      </c>
      <c r="G1752" s="58">
        <f t="shared" si="231"/>
        <v>0</v>
      </c>
    </row>
    <row r="1753" spans="1:7" ht="15.75" hidden="1" x14ac:dyDescent="0.25">
      <c r="A1753" s="48">
        <v>1752</v>
      </c>
      <c r="B1753" s="49" t="s">
        <v>3518</v>
      </c>
      <c r="C1753" s="49" t="s">
        <v>3519</v>
      </c>
      <c r="D1753" s="53" t="s">
        <v>47</v>
      </c>
      <c r="E1753" s="53" t="s">
        <v>116</v>
      </c>
      <c r="F1753" s="45">
        <f t="shared" si="232"/>
        <v>0</v>
      </c>
      <c r="G1753" s="58">
        <f t="shared" si="231"/>
        <v>0</v>
      </c>
    </row>
    <row r="1754" spans="1:7" ht="15.75" hidden="1" x14ac:dyDescent="0.25">
      <c r="A1754" s="48">
        <v>1753</v>
      </c>
      <c r="B1754" s="49" t="s">
        <v>3520</v>
      </c>
      <c r="C1754" s="49" t="s">
        <v>3521</v>
      </c>
      <c r="D1754" s="53" t="s">
        <v>47</v>
      </c>
      <c r="E1754" s="53" t="s">
        <v>56</v>
      </c>
      <c r="F1754" s="45">
        <f t="shared" si="232"/>
        <v>0</v>
      </c>
      <c r="G1754" s="58">
        <f t="shared" si="231"/>
        <v>0</v>
      </c>
    </row>
    <row r="1755" spans="1:7" ht="15.75" hidden="1" x14ac:dyDescent="0.25">
      <c r="A1755" s="48">
        <v>1754</v>
      </c>
      <c r="B1755" s="49" t="s">
        <v>3522</v>
      </c>
      <c r="C1755" s="49" t="s">
        <v>3523</v>
      </c>
      <c r="D1755" s="53" t="s">
        <v>64</v>
      </c>
      <c r="E1755" s="53" t="s">
        <v>186</v>
      </c>
      <c r="F1755" s="45">
        <f t="shared" si="230"/>
        <v>0</v>
      </c>
      <c r="G1755" s="58">
        <f t="shared" si="231"/>
        <v>0</v>
      </c>
    </row>
    <row r="1756" spans="1:7" ht="15.75" hidden="1" x14ac:dyDescent="0.25">
      <c r="A1756" s="48">
        <v>1755</v>
      </c>
      <c r="B1756" s="49" t="s">
        <v>3524</v>
      </c>
      <c r="C1756" s="49" t="s">
        <v>3525</v>
      </c>
      <c r="D1756" s="53" t="s">
        <v>64</v>
      </c>
      <c r="E1756" s="53" t="s">
        <v>186</v>
      </c>
      <c r="F1756" s="45">
        <f t="shared" si="230"/>
        <v>0</v>
      </c>
      <c r="G1756" s="58">
        <f t="shared" si="231"/>
        <v>0</v>
      </c>
    </row>
    <row r="1757" spans="1:7" ht="15.75" hidden="1" x14ac:dyDescent="0.25">
      <c r="A1757" s="48">
        <v>1756</v>
      </c>
      <c r="B1757" s="49" t="s">
        <v>3526</v>
      </c>
      <c r="C1757" s="49" t="s">
        <v>3527</v>
      </c>
      <c r="D1757" s="53" t="s">
        <v>64</v>
      </c>
      <c r="E1757" s="53" t="s">
        <v>186</v>
      </c>
      <c r="F1757" s="45">
        <f t="shared" si="230"/>
        <v>0</v>
      </c>
      <c r="G1757" s="58">
        <f t="shared" si="231"/>
        <v>0</v>
      </c>
    </row>
    <row r="1758" spans="1:7" ht="15.75" hidden="1" x14ac:dyDescent="0.25">
      <c r="A1758" s="48">
        <v>1757</v>
      </c>
      <c r="B1758" s="49" t="s">
        <v>3528</v>
      </c>
      <c r="C1758" s="49" t="s">
        <v>3529</v>
      </c>
      <c r="D1758" s="53" t="s">
        <v>64</v>
      </c>
      <c r="E1758" s="53" t="s">
        <v>186</v>
      </c>
      <c r="F1758" s="45">
        <f t="shared" si="230"/>
        <v>0</v>
      </c>
      <c r="G1758" s="58">
        <f t="shared" si="231"/>
        <v>0</v>
      </c>
    </row>
    <row r="1759" spans="1:7" ht="15.75" hidden="1" x14ac:dyDescent="0.25">
      <c r="A1759" s="48">
        <v>1758</v>
      </c>
      <c r="B1759" s="49" t="s">
        <v>3530</v>
      </c>
      <c r="C1759" s="49" t="s">
        <v>3531</v>
      </c>
      <c r="D1759" s="53" t="s">
        <v>47</v>
      </c>
      <c r="E1759" s="53" t="s">
        <v>48</v>
      </c>
      <c r="F1759" s="45">
        <f>SUM($H1759:$P1759)</f>
        <v>0</v>
      </c>
      <c r="G1759" s="58">
        <f t="shared" si="231"/>
        <v>0</v>
      </c>
    </row>
    <row r="1760" spans="1:7" ht="15.75" hidden="1" x14ac:dyDescent="0.25">
      <c r="A1760" s="48">
        <v>1759</v>
      </c>
      <c r="B1760" s="49" t="s">
        <v>3532</v>
      </c>
      <c r="C1760" s="49" t="s">
        <v>3533</v>
      </c>
      <c r="D1760" s="53" t="s">
        <v>64</v>
      </c>
      <c r="E1760" s="53" t="s">
        <v>186</v>
      </c>
      <c r="F1760" s="45">
        <f t="shared" si="230"/>
        <v>0</v>
      </c>
      <c r="G1760" s="58">
        <f t="shared" si="231"/>
        <v>0</v>
      </c>
    </row>
    <row r="1761" spans="1:7" ht="15.75" hidden="1" x14ac:dyDescent="0.25">
      <c r="A1761" s="48">
        <v>1760</v>
      </c>
      <c r="B1761" s="49" t="s">
        <v>3534</v>
      </c>
      <c r="C1761" s="49" t="s">
        <v>3535</v>
      </c>
      <c r="D1761" s="53" t="s">
        <v>47</v>
      </c>
      <c r="E1761" s="53" t="s">
        <v>105</v>
      </c>
      <c r="F1761" s="45">
        <f>SUM($H1761:$P1761)</f>
        <v>0</v>
      </c>
      <c r="G1761" s="58">
        <f t="shared" si="231"/>
        <v>0</v>
      </c>
    </row>
    <row r="1762" spans="1:7" ht="15.75" hidden="1" x14ac:dyDescent="0.25">
      <c r="A1762" s="48">
        <v>1761</v>
      </c>
      <c r="B1762" s="49" t="s">
        <v>3536</v>
      </c>
      <c r="C1762" s="49" t="s">
        <v>3537</v>
      </c>
      <c r="D1762" s="53" t="s">
        <v>64</v>
      </c>
      <c r="E1762" s="53" t="s">
        <v>65</v>
      </c>
      <c r="F1762" s="45">
        <f t="shared" si="230"/>
        <v>0</v>
      </c>
      <c r="G1762" s="58">
        <f t="shared" si="231"/>
        <v>0</v>
      </c>
    </row>
    <row r="1763" spans="1:7" ht="15.75" hidden="1" x14ac:dyDescent="0.25">
      <c r="A1763" s="48">
        <v>1762</v>
      </c>
      <c r="B1763" s="49" t="s">
        <v>3538</v>
      </c>
      <c r="C1763" s="49" t="s">
        <v>3539</v>
      </c>
      <c r="D1763" s="53" t="s">
        <v>64</v>
      </c>
      <c r="E1763" s="53" t="s">
        <v>65</v>
      </c>
      <c r="F1763" s="45">
        <f t="shared" si="230"/>
        <v>0</v>
      </c>
      <c r="G1763" s="58">
        <f t="shared" si="231"/>
        <v>0</v>
      </c>
    </row>
    <row r="1764" spans="1:7" ht="15.75" hidden="1" x14ac:dyDescent="0.25">
      <c r="A1764" s="48">
        <v>1763</v>
      </c>
      <c r="B1764" s="49" t="s">
        <v>3540</v>
      </c>
      <c r="C1764" s="49" t="s">
        <v>3541</v>
      </c>
      <c r="D1764" s="53" t="s">
        <v>64</v>
      </c>
      <c r="E1764" s="53" t="s">
        <v>186</v>
      </c>
      <c r="F1764" s="45">
        <f t="shared" si="230"/>
        <v>0</v>
      </c>
      <c r="G1764" s="58">
        <f t="shared" si="231"/>
        <v>0</v>
      </c>
    </row>
    <row r="1765" spans="1:7" ht="15.75" hidden="1" x14ac:dyDescent="0.25">
      <c r="A1765" s="48">
        <v>1764</v>
      </c>
      <c r="B1765" s="49" t="s">
        <v>3542</v>
      </c>
      <c r="C1765" s="49" t="s">
        <v>3543</v>
      </c>
      <c r="D1765" s="53" t="s">
        <v>64</v>
      </c>
      <c r="E1765" s="53" t="s">
        <v>186</v>
      </c>
      <c r="F1765" s="45">
        <f t="shared" si="230"/>
        <v>0</v>
      </c>
      <c r="G1765" s="58">
        <f t="shared" si="231"/>
        <v>0</v>
      </c>
    </row>
    <row r="1766" spans="1:7" ht="15.75" hidden="1" x14ac:dyDescent="0.25">
      <c r="A1766" s="48">
        <v>1765</v>
      </c>
      <c r="B1766" s="49" t="s">
        <v>3544</v>
      </c>
      <c r="C1766" s="49" t="s">
        <v>3545</v>
      </c>
      <c r="D1766" s="53" t="s">
        <v>64</v>
      </c>
      <c r="E1766" s="53" t="s">
        <v>186</v>
      </c>
      <c r="F1766" s="45">
        <f t="shared" si="230"/>
        <v>0</v>
      </c>
      <c r="G1766" s="58">
        <f t="shared" si="231"/>
        <v>0</v>
      </c>
    </row>
    <row r="1767" spans="1:7" ht="15.75" hidden="1" x14ac:dyDescent="0.25">
      <c r="A1767" s="48">
        <v>1766</v>
      </c>
      <c r="B1767" s="49" t="s">
        <v>3546</v>
      </c>
      <c r="C1767" s="49" t="s">
        <v>3547</v>
      </c>
      <c r="D1767" s="53" t="s">
        <v>64</v>
      </c>
      <c r="E1767" s="53" t="s">
        <v>186</v>
      </c>
      <c r="F1767" s="45">
        <f t="shared" si="230"/>
        <v>0</v>
      </c>
      <c r="G1767" s="58">
        <f t="shared" si="231"/>
        <v>0</v>
      </c>
    </row>
    <row r="1768" spans="1:7" ht="15.75" hidden="1" x14ac:dyDescent="0.25">
      <c r="A1768" s="48">
        <v>1767</v>
      </c>
      <c r="B1768" s="49" t="s">
        <v>3548</v>
      </c>
      <c r="C1768" s="49" t="s">
        <v>3549</v>
      </c>
      <c r="D1768" s="53" t="s">
        <v>64</v>
      </c>
      <c r="E1768" s="53" t="s">
        <v>186</v>
      </c>
      <c r="F1768" s="45">
        <f t="shared" si="230"/>
        <v>0</v>
      </c>
      <c r="G1768" s="58">
        <f t="shared" si="231"/>
        <v>0</v>
      </c>
    </row>
    <row r="1769" spans="1:7" ht="15.75" hidden="1" x14ac:dyDescent="0.25">
      <c r="A1769" s="48">
        <v>1768</v>
      </c>
      <c r="B1769" s="49" t="s">
        <v>3550</v>
      </c>
      <c r="C1769" s="49" t="s">
        <v>3551</v>
      </c>
      <c r="D1769" s="53" t="s">
        <v>64</v>
      </c>
      <c r="E1769" s="53" t="s">
        <v>186</v>
      </c>
      <c r="F1769" s="45">
        <f t="shared" si="230"/>
        <v>0</v>
      </c>
      <c r="G1769" s="58">
        <f t="shared" si="231"/>
        <v>0</v>
      </c>
    </row>
    <row r="1770" spans="1:7" ht="15.75" hidden="1" x14ac:dyDescent="0.25">
      <c r="A1770" s="48">
        <v>1769</v>
      </c>
      <c r="B1770" s="49" t="s">
        <v>3552</v>
      </c>
      <c r="C1770" s="49" t="s">
        <v>3553</v>
      </c>
      <c r="D1770" s="53" t="s">
        <v>64</v>
      </c>
      <c r="E1770" s="53" t="s">
        <v>186</v>
      </c>
      <c r="F1770" s="45">
        <f t="shared" si="230"/>
        <v>0</v>
      </c>
      <c r="G1770" s="58">
        <f t="shared" si="231"/>
        <v>0</v>
      </c>
    </row>
    <row r="1771" spans="1:7" ht="15.75" hidden="1" x14ac:dyDescent="0.25">
      <c r="A1771" s="48">
        <v>1770</v>
      </c>
      <c r="B1771" s="49" t="s">
        <v>3554</v>
      </c>
      <c r="C1771" s="49"/>
      <c r="D1771" s="53" t="s">
        <v>64</v>
      </c>
      <c r="E1771" s="53" t="s">
        <v>186</v>
      </c>
      <c r="F1771" s="45">
        <f t="shared" si="230"/>
        <v>0</v>
      </c>
      <c r="G1771" s="58">
        <f t="shared" si="231"/>
        <v>0</v>
      </c>
    </row>
    <row r="1772" spans="1:7" ht="15.75" hidden="1" x14ac:dyDescent="0.25">
      <c r="A1772" s="48">
        <v>1771</v>
      </c>
      <c r="B1772" s="49" t="s">
        <v>3555</v>
      </c>
      <c r="C1772" s="49"/>
      <c r="D1772" s="53" t="s">
        <v>47</v>
      </c>
      <c r="E1772" s="53" t="s">
        <v>86</v>
      </c>
      <c r="F1772" s="45">
        <f>SUM($H1772:$P1772)</f>
        <v>0</v>
      </c>
      <c r="G1772" s="58">
        <f t="shared" si="231"/>
        <v>0</v>
      </c>
    </row>
    <row r="1773" spans="1:7" ht="15.75" hidden="1" x14ac:dyDescent="0.25">
      <c r="A1773" s="48">
        <v>1772</v>
      </c>
      <c r="B1773" s="49" t="s">
        <v>3556</v>
      </c>
      <c r="C1773" s="49"/>
      <c r="D1773" s="53" t="s">
        <v>64</v>
      </c>
      <c r="E1773" s="53" t="s">
        <v>186</v>
      </c>
      <c r="F1773" s="45">
        <f t="shared" si="230"/>
        <v>0</v>
      </c>
      <c r="G1773" s="58">
        <f t="shared" si="231"/>
        <v>0</v>
      </c>
    </row>
    <row r="1774" spans="1:7" ht="15.75" hidden="1" x14ac:dyDescent="0.25">
      <c r="A1774" s="48">
        <v>1773</v>
      </c>
      <c r="B1774" s="49" t="s">
        <v>3557</v>
      </c>
      <c r="C1774" s="49"/>
      <c r="D1774" s="53" t="s">
        <v>64</v>
      </c>
      <c r="E1774" s="53" t="s">
        <v>186</v>
      </c>
      <c r="F1774" s="45">
        <f t="shared" si="230"/>
        <v>0</v>
      </c>
      <c r="G1774" s="58">
        <f t="shared" si="231"/>
        <v>0</v>
      </c>
    </row>
    <row r="1775" spans="1:7" ht="15.75" hidden="1" x14ac:dyDescent="0.25">
      <c r="A1775" s="48">
        <v>1774</v>
      </c>
      <c r="B1775" s="49" t="s">
        <v>3558</v>
      </c>
      <c r="C1775" s="49"/>
      <c r="D1775" s="53" t="s">
        <v>64</v>
      </c>
      <c r="E1775" s="53" t="s">
        <v>186</v>
      </c>
      <c r="F1775" s="45">
        <f t="shared" si="230"/>
        <v>0</v>
      </c>
      <c r="G1775" s="58">
        <f t="shared" si="231"/>
        <v>0</v>
      </c>
    </row>
    <row r="1776" spans="1:7" ht="15.75" hidden="1" x14ac:dyDescent="0.25">
      <c r="A1776" s="48">
        <v>1775</v>
      </c>
      <c r="B1776" s="49" t="s">
        <v>3559</v>
      </c>
      <c r="C1776" s="49"/>
      <c r="D1776" s="53" t="s">
        <v>64</v>
      </c>
      <c r="E1776" s="53" t="s">
        <v>186</v>
      </c>
      <c r="F1776" s="45">
        <f t="shared" si="230"/>
        <v>0</v>
      </c>
      <c r="G1776" s="58">
        <f t="shared" si="231"/>
        <v>0</v>
      </c>
    </row>
    <row r="1777" spans="1:7" ht="15.75" hidden="1" x14ac:dyDescent="0.25">
      <c r="A1777" s="48">
        <v>1776</v>
      </c>
      <c r="B1777" s="49" t="s">
        <v>3560</v>
      </c>
      <c r="C1777" s="49"/>
      <c r="D1777" s="53" t="s">
        <v>64</v>
      </c>
      <c r="E1777" s="53" t="s">
        <v>186</v>
      </c>
      <c r="F1777" s="45">
        <f t="shared" si="230"/>
        <v>0</v>
      </c>
      <c r="G1777" s="58">
        <f t="shared" si="231"/>
        <v>0</v>
      </c>
    </row>
    <row r="1778" spans="1:7" ht="15.75" hidden="1" x14ac:dyDescent="0.25">
      <c r="A1778" s="48">
        <v>1777</v>
      </c>
      <c r="B1778" s="49" t="s">
        <v>3561</v>
      </c>
      <c r="C1778" s="49"/>
      <c r="D1778" s="53" t="s">
        <v>64</v>
      </c>
      <c r="E1778" s="53" t="s">
        <v>186</v>
      </c>
      <c r="F1778" s="45">
        <f t="shared" si="230"/>
        <v>0</v>
      </c>
      <c r="G1778" s="58">
        <f t="shared" si="231"/>
        <v>0</v>
      </c>
    </row>
    <row r="1779" spans="1:7" ht="15.75" hidden="1" x14ac:dyDescent="0.25">
      <c r="A1779" s="48">
        <v>1778</v>
      </c>
      <c r="B1779" s="49" t="s">
        <v>3562</v>
      </c>
      <c r="C1779" s="49"/>
      <c r="D1779" s="53" t="s">
        <v>64</v>
      </c>
      <c r="E1779" s="53" t="s">
        <v>186</v>
      </c>
      <c r="F1779" s="45">
        <f t="shared" si="230"/>
        <v>0</v>
      </c>
      <c r="G1779" s="58">
        <f t="shared" si="231"/>
        <v>0</v>
      </c>
    </row>
    <row r="1780" spans="1:7" ht="15.75" hidden="1" x14ac:dyDescent="0.25">
      <c r="A1780" s="48">
        <v>1779</v>
      </c>
      <c r="B1780" s="49" t="s">
        <v>3563</v>
      </c>
      <c r="C1780" s="49"/>
      <c r="D1780" s="53" t="s">
        <v>64</v>
      </c>
      <c r="E1780" s="53" t="s">
        <v>186</v>
      </c>
      <c r="F1780" s="45">
        <f t="shared" si="230"/>
        <v>0</v>
      </c>
      <c r="G1780" s="58">
        <f t="shared" si="231"/>
        <v>0</v>
      </c>
    </row>
    <row r="1781" spans="1:7" ht="15.75" hidden="1" x14ac:dyDescent="0.25">
      <c r="A1781" s="48">
        <v>1780</v>
      </c>
      <c r="B1781" s="49" t="s">
        <v>3564</v>
      </c>
      <c r="C1781" s="49"/>
      <c r="D1781" s="53" t="s">
        <v>64</v>
      </c>
      <c r="E1781" s="53" t="s">
        <v>186</v>
      </c>
      <c r="F1781" s="45">
        <f t="shared" si="230"/>
        <v>0</v>
      </c>
      <c r="G1781" s="58">
        <f t="shared" si="231"/>
        <v>0</v>
      </c>
    </row>
    <row r="1782" spans="1:7" ht="15.75" hidden="1" x14ac:dyDescent="0.25">
      <c r="A1782" s="48">
        <v>1781</v>
      </c>
      <c r="B1782" s="49" t="s">
        <v>3565</v>
      </c>
      <c r="C1782" s="49"/>
      <c r="D1782" s="53" t="s">
        <v>64</v>
      </c>
      <c r="E1782" s="53" t="s">
        <v>186</v>
      </c>
      <c r="F1782" s="45">
        <f t="shared" si="230"/>
        <v>0</v>
      </c>
      <c r="G1782" s="58">
        <f t="shared" si="231"/>
        <v>0</v>
      </c>
    </row>
    <row r="1783" spans="1:7" ht="15.75" hidden="1" x14ac:dyDescent="0.25">
      <c r="A1783" s="48">
        <v>1782</v>
      </c>
      <c r="B1783" s="49" t="s">
        <v>3566</v>
      </c>
      <c r="C1783" s="49"/>
      <c r="D1783" s="53" t="s">
        <v>64</v>
      </c>
      <c r="E1783" s="53" t="s">
        <v>186</v>
      </c>
      <c r="F1783" s="45">
        <f t="shared" si="230"/>
        <v>0</v>
      </c>
      <c r="G1783" s="58">
        <f t="shared" si="231"/>
        <v>0</v>
      </c>
    </row>
    <row r="1784" spans="1:7" ht="15.75" hidden="1" x14ac:dyDescent="0.25">
      <c r="A1784" s="48">
        <v>1783</v>
      </c>
      <c r="B1784" s="49" t="s">
        <v>3567</v>
      </c>
      <c r="C1784" s="49"/>
      <c r="D1784" s="53" t="s">
        <v>64</v>
      </c>
      <c r="E1784" s="53" t="s">
        <v>186</v>
      </c>
      <c r="F1784" s="45">
        <f t="shared" si="230"/>
        <v>0</v>
      </c>
      <c r="G1784" s="58">
        <f t="shared" si="231"/>
        <v>0</v>
      </c>
    </row>
    <row r="1785" spans="1:7" ht="15.75" hidden="1" x14ac:dyDescent="0.25">
      <c r="A1785" s="48">
        <v>1784</v>
      </c>
      <c r="B1785" s="49" t="s">
        <v>3568</v>
      </c>
      <c r="C1785" s="49"/>
      <c r="D1785" s="53" t="s">
        <v>64</v>
      </c>
      <c r="E1785" s="53" t="s">
        <v>186</v>
      </c>
      <c r="F1785" s="45">
        <f t="shared" si="230"/>
        <v>0</v>
      </c>
      <c r="G1785" s="58">
        <f t="shared" si="231"/>
        <v>0</v>
      </c>
    </row>
    <row r="1786" spans="1:7" ht="15.75" hidden="1" x14ac:dyDescent="0.25">
      <c r="A1786" s="48">
        <v>1785</v>
      </c>
      <c r="B1786" s="49" t="s">
        <v>3569</v>
      </c>
      <c r="C1786" s="49"/>
      <c r="D1786" s="53" t="s">
        <v>64</v>
      </c>
      <c r="E1786" s="53" t="s">
        <v>186</v>
      </c>
      <c r="F1786" s="45">
        <f t="shared" si="230"/>
        <v>0</v>
      </c>
      <c r="G1786" s="58">
        <f t="shared" si="231"/>
        <v>0</v>
      </c>
    </row>
    <row r="1787" spans="1:7" ht="15.75" x14ac:dyDescent="0.25">
      <c r="G1787" s="57"/>
    </row>
    <row r="1788" spans="1:7" ht="15.75" x14ac:dyDescent="0.25">
      <c r="G1788" s="57"/>
    </row>
    <row r="1789" spans="1:7" ht="15.75" x14ac:dyDescent="0.25">
      <c r="G1789" s="57"/>
    </row>
    <row r="1790" spans="1:7" ht="15.75" x14ac:dyDescent="0.25">
      <c r="G1790" s="57"/>
    </row>
    <row r="1791" spans="1:7" ht="15.75" x14ac:dyDescent="0.25">
      <c r="G1791" s="57"/>
    </row>
    <row r="1792" spans="1:7" ht="15.75" x14ac:dyDescent="0.25">
      <c r="G1792" s="57"/>
    </row>
    <row r="1793" spans="7:7" ht="15.75" x14ac:dyDescent="0.25">
      <c r="G1793" s="57"/>
    </row>
    <row r="1794" spans="7:7" ht="15.75" x14ac:dyDescent="0.25">
      <c r="G1794" s="57"/>
    </row>
    <row r="1795" spans="7:7" ht="15.75" x14ac:dyDescent="0.25">
      <c r="G1795" s="57"/>
    </row>
    <row r="1796" spans="7:7" ht="15.75" x14ac:dyDescent="0.25">
      <c r="G1796" s="57"/>
    </row>
    <row r="1797" spans="7:7" ht="15.75" x14ac:dyDescent="0.25">
      <c r="G1797" s="57"/>
    </row>
    <row r="1798" spans="7:7" ht="15.75" x14ac:dyDescent="0.25">
      <c r="G1798" s="57"/>
    </row>
    <row r="1799" spans="7:7" ht="15.75" x14ac:dyDescent="0.25">
      <c r="G1799" s="57"/>
    </row>
    <row r="1800" spans="7:7" ht="15.75" x14ac:dyDescent="0.25">
      <c r="G1800" s="57"/>
    </row>
    <row r="1801" spans="7:7" ht="15.75" x14ac:dyDescent="0.25">
      <c r="G1801" s="57"/>
    </row>
    <row r="1802" spans="7:7" ht="15.75" x14ac:dyDescent="0.25">
      <c r="G1802" s="57"/>
    </row>
    <row r="1803" spans="7:7" ht="15.75" x14ac:dyDescent="0.25">
      <c r="G1803" s="57"/>
    </row>
    <row r="1804" spans="7:7" ht="15.75" x14ac:dyDescent="0.25">
      <c r="G1804" s="57"/>
    </row>
    <row r="1805" spans="7:7" ht="15.75" x14ac:dyDescent="0.25">
      <c r="G1805" s="57"/>
    </row>
    <row r="1806" spans="7:7" ht="15.75" x14ac:dyDescent="0.25">
      <c r="G1806" s="57"/>
    </row>
    <row r="1807" spans="7:7" ht="15.75" x14ac:dyDescent="0.25">
      <c r="G1807" s="57"/>
    </row>
    <row r="1808" spans="7:7" ht="15.75" x14ac:dyDescent="0.25">
      <c r="G1808" s="57"/>
    </row>
    <row r="1809" spans="7:7" ht="15.75" x14ac:dyDescent="0.25">
      <c r="G1809" s="57"/>
    </row>
    <row r="1810" spans="7:7" ht="15.75" x14ac:dyDescent="0.25">
      <c r="G1810" s="57"/>
    </row>
    <row r="1811" spans="7:7" ht="15.75" x14ac:dyDescent="0.25">
      <c r="G1811" s="57"/>
    </row>
    <row r="1812" spans="7:7" ht="15.75" x14ac:dyDescent="0.25">
      <c r="G1812" s="57"/>
    </row>
    <row r="1813" spans="7:7" ht="15.75" x14ac:dyDescent="0.25">
      <c r="G1813" s="57"/>
    </row>
    <row r="1814" spans="7:7" ht="15.75" x14ac:dyDescent="0.25">
      <c r="G1814" s="57"/>
    </row>
    <row r="1815" spans="7:7" ht="15.75" x14ac:dyDescent="0.25">
      <c r="G1815" s="57"/>
    </row>
    <row r="1816" spans="7:7" ht="15.75" x14ac:dyDescent="0.25">
      <c r="G1816" s="57"/>
    </row>
    <row r="1048522" spans="7:7" x14ac:dyDescent="0.25">
      <c r="G1048522" s="2"/>
    </row>
    <row r="1048523" spans="7:7" ht="15.75" x14ac:dyDescent="0.25">
      <c r="G1048523" s="57"/>
    </row>
    <row r="1048524" spans="7:7" ht="15.75" x14ac:dyDescent="0.25">
      <c r="G1048524" s="57"/>
    </row>
    <row r="1048525" spans="7:7" ht="15.75" x14ac:dyDescent="0.25">
      <c r="G1048525" s="57"/>
    </row>
    <row r="1048526" spans="7:7" ht="15.75" x14ac:dyDescent="0.25">
      <c r="G1048526" s="57"/>
    </row>
    <row r="1048527" spans="7:7" ht="15.75" x14ac:dyDescent="0.25">
      <c r="G1048527" s="57"/>
    </row>
    <row r="1048528" spans="7:7" ht="15.75" x14ac:dyDescent="0.25">
      <c r="G1048528" s="57"/>
    </row>
    <row r="1048529" spans="7:7" ht="15.75" x14ac:dyDescent="0.25">
      <c r="G1048529" s="57"/>
    </row>
    <row r="1048530" spans="7:7" ht="15.75" x14ac:dyDescent="0.25">
      <c r="G1048530" s="57"/>
    </row>
    <row r="1048531" spans="7:7" ht="15.75" x14ac:dyDescent="0.25">
      <c r="G1048531" s="57"/>
    </row>
    <row r="1048532" spans="7:7" ht="15.75" x14ac:dyDescent="0.25">
      <c r="G1048532" s="57"/>
    </row>
    <row r="1048533" spans="7:7" ht="15.75" x14ac:dyDescent="0.25">
      <c r="G1048533" s="57"/>
    </row>
    <row r="1048534" spans="7:7" ht="15.75" x14ac:dyDescent="0.25">
      <c r="G1048534" s="57"/>
    </row>
    <row r="1048535" spans="7:7" ht="15.75" x14ac:dyDescent="0.25">
      <c r="G1048535" s="57"/>
    </row>
    <row r="1048536" spans="7:7" ht="15.75" x14ac:dyDescent="0.25">
      <c r="G1048536" s="57"/>
    </row>
    <row r="1048537" spans="7:7" ht="15.75" x14ac:dyDescent="0.25">
      <c r="G1048537" s="57"/>
    </row>
    <row r="1048538" spans="7:7" ht="15.75" x14ac:dyDescent="0.25">
      <c r="G1048538" s="57"/>
    </row>
    <row r="1048539" spans="7:7" ht="15.75" x14ac:dyDescent="0.25">
      <c r="G1048539" s="57"/>
    </row>
    <row r="1048540" spans="7:7" ht="15.75" x14ac:dyDescent="0.25">
      <c r="G1048540" s="57"/>
    </row>
    <row r="1048541" spans="7:7" ht="15.75" x14ac:dyDescent="0.25">
      <c r="G1048541" s="57"/>
    </row>
    <row r="1048542" spans="7:7" ht="15.75" x14ac:dyDescent="0.25">
      <c r="G1048542" s="57"/>
    </row>
    <row r="1048543" spans="7:7" ht="15.75" x14ac:dyDescent="0.25">
      <c r="G1048543" s="57"/>
    </row>
    <row r="1048544" spans="7:7" ht="15.75" x14ac:dyDescent="0.25">
      <c r="G1048544" s="57"/>
    </row>
    <row r="1048545" spans="7:7" ht="15.75" x14ac:dyDescent="0.25">
      <c r="G1048545" s="57"/>
    </row>
    <row r="1048546" spans="7:7" ht="15.75" x14ac:dyDescent="0.25">
      <c r="G1048546" s="57"/>
    </row>
    <row r="1048547" spans="7:7" ht="15.75" x14ac:dyDescent="0.25">
      <c r="G1048547" s="57"/>
    </row>
    <row r="1048548" spans="7:7" ht="15.75" x14ac:dyDescent="0.25">
      <c r="G1048548" s="57"/>
    </row>
  </sheetData>
  <sheetProtection algorithmName="SHA-512" hashValue="uKjrKspK7LoRJMpIjudMd+CpJxwIMg3RXd/Ve9OvpMMhd6H/j0UT0w+frQpTTGgRw2ShhYT1tC3ckrjHCaYKgg==" saltValue="AxtHbi2GBT6F4MOKP6shDQ==" spinCount="100000" sheet="1" objects="1" scenarios="1" autoFilter="0"/>
  <autoFilter ref="A1:P1786" xr:uid="{00000000-0001-0000-0100-000000000000}">
    <filterColumn colId="1">
      <filters>
        <filter val="Go, Zachary"/>
      </filters>
    </filterColumn>
    <filterColumn colId="3">
      <filters>
        <filter val="Apps Dev"/>
        <filter val="BPS"/>
        <filter val="JDU"/>
      </filters>
    </filterColumn>
  </autoFilter>
  <phoneticPr fontId="22" type="noConversion"/>
  <conditionalFormatting sqref="B1 B1787:B1048576">
    <cfRule type="duplicateValues" dxfId="1" priority="15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10"/>
  <sheetViews>
    <sheetView workbookViewId="0">
      <selection activeCell="A11" sqref="A11"/>
    </sheetView>
  </sheetViews>
  <sheetFormatPr defaultRowHeight="15" x14ac:dyDescent="0.25"/>
  <cols>
    <col min="1" max="1" width="26.5703125" customWidth="1"/>
  </cols>
  <sheetData>
    <row r="1" spans="1:3" x14ac:dyDescent="0.25">
      <c r="A1" s="4" t="s">
        <v>3570</v>
      </c>
      <c r="B1" s="4" t="s">
        <v>3571</v>
      </c>
      <c r="C1" s="4" t="s">
        <v>3572</v>
      </c>
    </row>
    <row r="2" spans="1:3" x14ac:dyDescent="0.25">
      <c r="A2" t="s">
        <v>3573</v>
      </c>
      <c r="B2">
        <v>90</v>
      </c>
      <c r="C2" t="s">
        <v>3574</v>
      </c>
    </row>
    <row r="3" spans="1:3" x14ac:dyDescent="0.25">
      <c r="A3" t="s">
        <v>3575</v>
      </c>
      <c r="B3">
        <v>60</v>
      </c>
      <c r="C3" t="s">
        <v>3576</v>
      </c>
    </row>
    <row r="4" spans="1:3" x14ac:dyDescent="0.25">
      <c r="A4" t="s">
        <v>3577</v>
      </c>
      <c r="B4">
        <v>60</v>
      </c>
      <c r="C4" t="s">
        <v>3578</v>
      </c>
    </row>
    <row r="5" spans="1:3" x14ac:dyDescent="0.25">
      <c r="A5" t="s">
        <v>3579</v>
      </c>
      <c r="B5">
        <v>90</v>
      </c>
      <c r="C5" t="s">
        <v>3580</v>
      </c>
    </row>
    <row r="6" spans="1:3" x14ac:dyDescent="0.25">
      <c r="A6" t="s">
        <v>3581</v>
      </c>
      <c r="B6">
        <v>60</v>
      </c>
      <c r="C6" t="s">
        <v>3582</v>
      </c>
    </row>
    <row r="7" spans="1:3" x14ac:dyDescent="0.25">
      <c r="A7" t="s">
        <v>3583</v>
      </c>
      <c r="B7">
        <v>30</v>
      </c>
      <c r="C7" t="s">
        <v>3584</v>
      </c>
    </row>
    <row r="8" spans="1:3" x14ac:dyDescent="0.25">
      <c r="A8" t="s">
        <v>3585</v>
      </c>
      <c r="B8">
        <v>30</v>
      </c>
      <c r="C8" t="s">
        <v>3586</v>
      </c>
    </row>
    <row r="9" spans="1:3" x14ac:dyDescent="0.25">
      <c r="A9" t="s">
        <v>3587</v>
      </c>
      <c r="B9">
        <v>30</v>
      </c>
      <c r="C9" t="s">
        <v>3588</v>
      </c>
    </row>
    <row r="10" spans="1:3" x14ac:dyDescent="0.25">
      <c r="A10" t="s">
        <v>3589</v>
      </c>
      <c r="B10">
        <v>30</v>
      </c>
      <c r="C10" t="s">
        <v>3590</v>
      </c>
    </row>
  </sheetData>
  <phoneticPr fontId="22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59"/>
  <sheetViews>
    <sheetView workbookViewId="0">
      <selection activeCell="A2" sqref="A2"/>
    </sheetView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3591</v>
      </c>
    </row>
    <row r="2" spans="1:4" x14ac:dyDescent="0.25">
      <c r="A2" s="46" t="s">
        <v>87</v>
      </c>
      <c r="B2" s="3">
        <f>IFERROR(VLOOKUP(A2,'Member List'!$B$2:$F$1214,5,FALSE),"None")</f>
        <v>0</v>
      </c>
      <c r="D2" s="3" t="str">
        <f>IF(LEFT(C2,5)=LEFT(A2,5),"YES","NO")</f>
        <v>NO</v>
      </c>
    </row>
    <row r="3" spans="1:4" x14ac:dyDescent="0.25">
      <c r="A3" s="46" t="s">
        <v>260</v>
      </c>
      <c r="B3" s="3">
        <f>IFERROR(VLOOKUP(A3,'Member List'!$B$2:$F$1214,5,FALSE),"None")</f>
        <v>0</v>
      </c>
      <c r="D3" s="3" t="str">
        <f t="shared" ref="D3:D59" si="0">IF(LEFT(C3,5)=LEFT(A3,5),"YES","NO")</f>
        <v>NO</v>
      </c>
    </row>
    <row r="4" spans="1:4" x14ac:dyDescent="0.25">
      <c r="A4" s="46" t="s">
        <v>286</v>
      </c>
      <c r="B4" s="3">
        <f>IFERROR(VLOOKUP(A4,'Member List'!$B$2:$F$1214,5,FALSE),"None")</f>
        <v>0</v>
      </c>
      <c r="D4" s="3" t="str">
        <f t="shared" si="0"/>
        <v>NO</v>
      </c>
    </row>
    <row r="5" spans="1:4" x14ac:dyDescent="0.25">
      <c r="A5" s="46" t="s">
        <v>364</v>
      </c>
      <c r="B5" s="3">
        <f>IFERROR(VLOOKUP(A5,'Member List'!$B$2:$F$1214,5,FALSE),"None")</f>
        <v>0</v>
      </c>
      <c r="D5" s="3" t="str">
        <f t="shared" si="0"/>
        <v>NO</v>
      </c>
    </row>
    <row r="6" spans="1:4" x14ac:dyDescent="0.25">
      <c r="A6" s="46" t="s">
        <v>368</v>
      </c>
      <c r="B6" s="3">
        <f>IFERROR(VLOOKUP(A6,'Member List'!$B$2:$F$1214,5,FALSE),"None")</f>
        <v>0</v>
      </c>
      <c r="D6" s="3" t="str">
        <f t="shared" si="0"/>
        <v>NO</v>
      </c>
    </row>
    <row r="7" spans="1:4" x14ac:dyDescent="0.25">
      <c r="A7" s="46" t="s">
        <v>466</v>
      </c>
      <c r="B7" s="3">
        <f>IFERROR(VLOOKUP(A7,'Member List'!$B$2:$F$1214,5,FALSE),"None")</f>
        <v>0</v>
      </c>
      <c r="D7" s="3" t="str">
        <f t="shared" si="0"/>
        <v>NO</v>
      </c>
    </row>
    <row r="8" spans="1:4" x14ac:dyDescent="0.25">
      <c r="A8" s="46" t="s">
        <v>514</v>
      </c>
      <c r="B8" s="3">
        <f>IFERROR(VLOOKUP(A8,'Member List'!$B$2:$F$1214,5,FALSE),"None")</f>
        <v>90</v>
      </c>
      <c r="D8" s="3" t="str">
        <f t="shared" si="0"/>
        <v>NO</v>
      </c>
    </row>
    <row r="9" spans="1:4" x14ac:dyDescent="0.25">
      <c r="A9" s="46" t="s">
        <v>590</v>
      </c>
      <c r="B9" s="3">
        <f>IFERROR(VLOOKUP(A9,'Member List'!$B$2:$F$1214,5,FALSE),"None")</f>
        <v>0</v>
      </c>
      <c r="D9" s="3" t="str">
        <f t="shared" si="0"/>
        <v>NO</v>
      </c>
    </row>
    <row r="10" spans="1:4" x14ac:dyDescent="0.25">
      <c r="A10" s="46" t="s">
        <v>708</v>
      </c>
      <c r="B10" s="3">
        <f>IFERROR(VLOOKUP(A10,'Member List'!$B$2:$F$1214,5,FALSE),"None")</f>
        <v>0</v>
      </c>
      <c r="D10" s="3" t="str">
        <f t="shared" si="0"/>
        <v>NO</v>
      </c>
    </row>
    <row r="11" spans="1:4" x14ac:dyDescent="0.25">
      <c r="A11" s="46" t="s">
        <v>742</v>
      </c>
      <c r="B11" s="3">
        <f>IFERROR(VLOOKUP(A11,'Member List'!$B$2:$F$1214,5,FALSE),"None")</f>
        <v>0</v>
      </c>
      <c r="D11" s="3" t="str">
        <f t="shared" si="0"/>
        <v>NO</v>
      </c>
    </row>
    <row r="12" spans="1:4" x14ac:dyDescent="0.25">
      <c r="A12" s="46" t="s">
        <v>754</v>
      </c>
      <c r="B12" s="3">
        <f>IFERROR(VLOOKUP(A12,'Member List'!$B$2:$F$1214,5,FALSE),"None")</f>
        <v>0</v>
      </c>
      <c r="D12" s="3" t="str">
        <f t="shared" si="0"/>
        <v>NO</v>
      </c>
    </row>
    <row r="13" spans="1:4" x14ac:dyDescent="0.25">
      <c r="A13" s="46" t="s">
        <v>790</v>
      </c>
      <c r="B13" s="3">
        <f>IFERROR(VLOOKUP(A13,'Member List'!$B$2:$F$1214,5,FALSE),"None")</f>
        <v>90</v>
      </c>
      <c r="D13" s="3" t="str">
        <f t="shared" si="0"/>
        <v>NO</v>
      </c>
    </row>
    <row r="14" spans="1:4" x14ac:dyDescent="0.25">
      <c r="A14" s="46" t="s">
        <v>842</v>
      </c>
      <c r="B14" s="3">
        <f>IFERROR(VLOOKUP(A14,'Member List'!$B$2:$F$1214,5,FALSE),"None")</f>
        <v>0</v>
      </c>
      <c r="D14" s="3" t="str">
        <f t="shared" si="0"/>
        <v>NO</v>
      </c>
    </row>
    <row r="15" spans="1:4" x14ac:dyDescent="0.25">
      <c r="A15" s="46" t="s">
        <v>884</v>
      </c>
      <c r="B15" s="3">
        <f>IFERROR(VLOOKUP(A15,'Member List'!$B$2:$F$1214,5,FALSE),"None")</f>
        <v>0</v>
      </c>
      <c r="D15" s="3" t="str">
        <f t="shared" si="0"/>
        <v>NO</v>
      </c>
    </row>
    <row r="16" spans="1:4" x14ac:dyDescent="0.25">
      <c r="A16" s="46" t="s">
        <v>924</v>
      </c>
      <c r="B16" s="3">
        <f>IFERROR(VLOOKUP(A16,'Member List'!$B$2:$F$1214,5,FALSE),"None")</f>
        <v>60</v>
      </c>
      <c r="D16" s="3" t="str">
        <f t="shared" si="0"/>
        <v>NO</v>
      </c>
    </row>
    <row r="17" spans="1:4" x14ac:dyDescent="0.25">
      <c r="A17" s="46" t="s">
        <v>930</v>
      </c>
      <c r="B17" s="3">
        <f>IFERROR(VLOOKUP(A17,'Member List'!$B$2:$F$1214,5,FALSE),"None")</f>
        <v>0</v>
      </c>
      <c r="D17" s="3" t="str">
        <f t="shared" si="0"/>
        <v>NO</v>
      </c>
    </row>
    <row r="18" spans="1:4" x14ac:dyDescent="0.25">
      <c r="A18" s="46" t="s">
        <v>932</v>
      </c>
      <c r="B18" s="3">
        <f>IFERROR(VLOOKUP(A18,'Member List'!$B$2:$F$1214,5,FALSE),"None")</f>
        <v>0</v>
      </c>
      <c r="D18" s="3" t="str">
        <f t="shared" si="0"/>
        <v>NO</v>
      </c>
    </row>
    <row r="19" spans="1:4" x14ac:dyDescent="0.25">
      <c r="A19" s="46" t="s">
        <v>1015</v>
      </c>
      <c r="B19" s="3">
        <f>IFERROR(VLOOKUP(A19,'Member List'!$B$2:$F$1214,5,FALSE),"None")</f>
        <v>0</v>
      </c>
      <c r="D19" s="3" t="str">
        <f t="shared" si="0"/>
        <v>NO</v>
      </c>
    </row>
    <row r="20" spans="1:4" x14ac:dyDescent="0.25">
      <c r="A20" s="46" t="s">
        <v>1043</v>
      </c>
      <c r="B20" s="3">
        <f>IFERROR(VLOOKUP(A20,'Member List'!$B$2:$F$1214,5,FALSE),"None")</f>
        <v>0</v>
      </c>
      <c r="D20" s="3" t="str">
        <f t="shared" si="0"/>
        <v>NO</v>
      </c>
    </row>
    <row r="21" spans="1:4" x14ac:dyDescent="0.25">
      <c r="A21" s="46" t="s">
        <v>1047</v>
      </c>
      <c r="B21" s="3">
        <f>IFERROR(VLOOKUP(A21,'Member List'!$B$2:$F$1214,5,FALSE),"None")</f>
        <v>60</v>
      </c>
      <c r="D21" s="3" t="str">
        <f t="shared" si="0"/>
        <v>NO</v>
      </c>
    </row>
    <row r="22" spans="1:4" x14ac:dyDescent="0.25">
      <c r="A22" s="46" t="s">
        <v>1061</v>
      </c>
      <c r="B22" s="3">
        <f>IFERROR(VLOOKUP(A22,'Member List'!$B$2:$F$1214,5,FALSE),"None")</f>
        <v>0</v>
      </c>
      <c r="D22" s="3" t="str">
        <f t="shared" si="0"/>
        <v>NO</v>
      </c>
    </row>
    <row r="23" spans="1:4" x14ac:dyDescent="0.25">
      <c r="A23" s="46" t="s">
        <v>1091</v>
      </c>
      <c r="B23" s="3">
        <f>IFERROR(VLOOKUP(A23,'Member List'!$B$2:$F$1214,5,FALSE),"None")</f>
        <v>0</v>
      </c>
      <c r="D23" s="3" t="str">
        <f t="shared" si="0"/>
        <v>NO</v>
      </c>
    </row>
    <row r="24" spans="1:4" x14ac:dyDescent="0.25">
      <c r="A24" s="46" t="s">
        <v>1131</v>
      </c>
      <c r="B24" s="3">
        <f>IFERROR(VLOOKUP(A24,'Member List'!$B$2:$F$1214,5,FALSE),"None")</f>
        <v>0</v>
      </c>
      <c r="D24" s="3" t="str">
        <f t="shared" si="0"/>
        <v>NO</v>
      </c>
    </row>
    <row r="25" spans="1:4" x14ac:dyDescent="0.25">
      <c r="A25" s="46" t="s">
        <v>1161</v>
      </c>
      <c r="B25" s="3">
        <f>IFERROR(VLOOKUP(A25,'Member List'!$B$2:$F$1214,5,FALSE),"None")</f>
        <v>0</v>
      </c>
      <c r="D25" s="3" t="str">
        <f t="shared" si="0"/>
        <v>NO</v>
      </c>
    </row>
    <row r="26" spans="1:4" x14ac:dyDescent="0.25">
      <c r="A26" s="46" t="s">
        <v>1171</v>
      </c>
      <c r="B26" s="3">
        <f>IFERROR(VLOOKUP(A26,'Member List'!$B$2:$F$1214,5,FALSE),"None")</f>
        <v>30</v>
      </c>
      <c r="D26" s="3" t="str">
        <f t="shared" si="0"/>
        <v>NO</v>
      </c>
    </row>
    <row r="27" spans="1:4" x14ac:dyDescent="0.25">
      <c r="A27" s="46" t="s">
        <v>3592</v>
      </c>
      <c r="B27" s="3" t="str">
        <f>IFERROR(VLOOKUP(A27,'Member List'!$B$2:$F$1214,5,FALSE),"None")</f>
        <v>None</v>
      </c>
      <c r="D27" s="3" t="str">
        <f t="shared" si="0"/>
        <v>NO</v>
      </c>
    </row>
    <row r="28" spans="1:4" x14ac:dyDescent="0.25">
      <c r="A28" s="46" t="s">
        <v>1233</v>
      </c>
      <c r="B28" s="3">
        <f>IFERROR(VLOOKUP(A28,'Member List'!$B$2:$F$1214,5,FALSE),"None")</f>
        <v>0</v>
      </c>
      <c r="D28" s="3" t="str">
        <f t="shared" si="0"/>
        <v>NO</v>
      </c>
    </row>
    <row r="29" spans="1:4" x14ac:dyDescent="0.25">
      <c r="A29" s="46" t="s">
        <v>1277</v>
      </c>
      <c r="B29" s="3">
        <f>IFERROR(VLOOKUP(A29,'Member List'!$B$2:$F$1214,5,FALSE),"None")</f>
        <v>0</v>
      </c>
      <c r="D29" s="3" t="str">
        <f t="shared" si="0"/>
        <v>NO</v>
      </c>
    </row>
    <row r="30" spans="1:4" x14ac:dyDescent="0.25">
      <c r="A30" s="46" t="s">
        <v>1279</v>
      </c>
      <c r="B30" s="3">
        <f>IFERROR(VLOOKUP(A30,'Member List'!$B$2:$F$1214,5,FALSE),"None")</f>
        <v>0</v>
      </c>
      <c r="D30" s="3" t="str">
        <f t="shared" si="0"/>
        <v>NO</v>
      </c>
    </row>
    <row r="31" spans="1:4" x14ac:dyDescent="0.25">
      <c r="A31" s="46" t="s">
        <v>1319</v>
      </c>
      <c r="B31" s="3">
        <f>IFERROR(VLOOKUP(A31,'Member List'!$B$2:$F$1214,5,FALSE),"None")</f>
        <v>0</v>
      </c>
      <c r="D31" s="3" t="str">
        <f t="shared" si="0"/>
        <v>NO</v>
      </c>
    </row>
    <row r="32" spans="1:4" x14ac:dyDescent="0.25">
      <c r="A32" s="46" t="s">
        <v>1327</v>
      </c>
      <c r="B32" s="3">
        <f>IFERROR(VLOOKUP(A32,'Member List'!$B$2:$F$1214,5,FALSE),"None")</f>
        <v>90</v>
      </c>
      <c r="D32" s="3" t="str">
        <f t="shared" si="0"/>
        <v>NO</v>
      </c>
    </row>
    <row r="33" spans="1:4" x14ac:dyDescent="0.25">
      <c r="A33" s="46" t="s">
        <v>1347</v>
      </c>
      <c r="B33" s="3">
        <f>IFERROR(VLOOKUP(A33,'Member List'!$B$2:$F$1214,5,FALSE),"None")</f>
        <v>0</v>
      </c>
      <c r="D33" s="3" t="str">
        <f t="shared" si="0"/>
        <v>NO</v>
      </c>
    </row>
    <row r="34" spans="1:4" x14ac:dyDescent="0.25">
      <c r="A34" s="46" t="s">
        <v>1538</v>
      </c>
      <c r="B34" s="3">
        <f>IFERROR(VLOOKUP(A34,'Member List'!$B$2:$F$1214,5,FALSE),"None")</f>
        <v>0</v>
      </c>
      <c r="D34" s="3" t="str">
        <f t="shared" si="0"/>
        <v>NO</v>
      </c>
    </row>
    <row r="35" spans="1:4" x14ac:dyDescent="0.25">
      <c r="A35" s="46" t="s">
        <v>1582</v>
      </c>
      <c r="B35" s="3">
        <f>IFERROR(VLOOKUP(A35,'Member List'!$B$2:$F$1214,5,FALSE),"None")</f>
        <v>0</v>
      </c>
      <c r="D35" s="3" t="str">
        <f t="shared" si="0"/>
        <v>NO</v>
      </c>
    </row>
    <row r="36" spans="1:4" x14ac:dyDescent="0.25">
      <c r="A36" s="46" t="s">
        <v>1612</v>
      </c>
      <c r="B36" s="3">
        <f>IFERROR(VLOOKUP(A36,'Member List'!$B$2:$F$1214,5,FALSE),"None")</f>
        <v>0</v>
      </c>
      <c r="D36" s="3" t="str">
        <f t="shared" si="0"/>
        <v>NO</v>
      </c>
    </row>
    <row r="37" spans="1:4" x14ac:dyDescent="0.25">
      <c r="A37" s="46" t="s">
        <v>1628</v>
      </c>
      <c r="B37" s="3">
        <f>IFERROR(VLOOKUP(A37,'Member List'!$B$2:$F$1214,5,FALSE),"None")</f>
        <v>0</v>
      </c>
      <c r="D37" s="3" t="str">
        <f t="shared" si="0"/>
        <v>NO</v>
      </c>
    </row>
    <row r="38" spans="1:4" x14ac:dyDescent="0.25">
      <c r="A38" s="46" t="s">
        <v>1644</v>
      </c>
      <c r="B38" s="3">
        <f>IFERROR(VLOOKUP(A38,'Member List'!$B$2:$F$1214,5,FALSE),"None")</f>
        <v>0</v>
      </c>
      <c r="D38" s="3" t="str">
        <f t="shared" si="0"/>
        <v>NO</v>
      </c>
    </row>
    <row r="39" spans="1:4" x14ac:dyDescent="0.25">
      <c r="A39" s="46" t="s">
        <v>1698</v>
      </c>
      <c r="B39" s="3">
        <f>IFERROR(VLOOKUP(A39,'Member List'!$B$2:$F$1214,5,FALSE),"None")</f>
        <v>0</v>
      </c>
      <c r="D39" s="3" t="str">
        <f t="shared" si="0"/>
        <v>NO</v>
      </c>
    </row>
    <row r="40" spans="1:4" x14ac:dyDescent="0.25">
      <c r="A40" s="46" t="s">
        <v>1808</v>
      </c>
      <c r="B40" s="3">
        <f>IFERROR(VLOOKUP(A40,'Member List'!$B$2:$F$1214,5,FALSE),"None")</f>
        <v>30</v>
      </c>
      <c r="D40" s="3" t="str">
        <f t="shared" si="0"/>
        <v>NO</v>
      </c>
    </row>
    <row r="41" spans="1:4" x14ac:dyDescent="0.25">
      <c r="A41" s="46" t="s">
        <v>1812</v>
      </c>
      <c r="B41" s="3">
        <f>IFERROR(VLOOKUP(A41,'Member List'!$B$2:$F$1214,5,FALSE),"None")</f>
        <v>0</v>
      </c>
      <c r="D41" s="3" t="str">
        <f t="shared" si="0"/>
        <v>NO</v>
      </c>
    </row>
    <row r="42" spans="1:4" x14ac:dyDescent="0.25">
      <c r="A42" s="46" t="s">
        <v>1832</v>
      </c>
      <c r="B42" s="3">
        <f>IFERROR(VLOOKUP(A42,'Member List'!$B$2:$F$1214,5,FALSE),"None")</f>
        <v>90</v>
      </c>
      <c r="D42" s="3" t="str">
        <f t="shared" si="0"/>
        <v>NO</v>
      </c>
    </row>
    <row r="43" spans="1:4" x14ac:dyDescent="0.25">
      <c r="A43" s="46" t="s">
        <v>1890</v>
      </c>
      <c r="B43" s="3">
        <f>IFERROR(VLOOKUP(A43,'Member List'!$B$2:$F$1214,5,FALSE),"None")</f>
        <v>0</v>
      </c>
      <c r="D43" s="3" t="str">
        <f t="shared" si="0"/>
        <v>NO</v>
      </c>
    </row>
    <row r="44" spans="1:4" x14ac:dyDescent="0.25">
      <c r="A44" s="46" t="s">
        <v>1948</v>
      </c>
      <c r="B44" s="3">
        <f>IFERROR(VLOOKUP(A44,'Member List'!$B$2:$F$1214,5,FALSE),"None")</f>
        <v>150</v>
      </c>
      <c r="D44" s="3" t="str">
        <f t="shared" si="0"/>
        <v>NO</v>
      </c>
    </row>
    <row r="45" spans="1:4" x14ac:dyDescent="0.25">
      <c r="A45" s="46" t="s">
        <v>1988</v>
      </c>
      <c r="B45" s="3">
        <f>IFERROR(VLOOKUP(A45,'Member List'!$B$2:$F$1214,5,FALSE),"None")</f>
        <v>0</v>
      </c>
      <c r="D45" s="3" t="str">
        <f t="shared" si="0"/>
        <v>NO</v>
      </c>
    </row>
    <row r="46" spans="1:4" x14ac:dyDescent="0.25">
      <c r="A46" s="46" t="s">
        <v>2018</v>
      </c>
      <c r="B46" s="3">
        <f>IFERROR(VLOOKUP(A46,'Member List'!$B$2:$F$1214,5,FALSE),"None")</f>
        <v>0</v>
      </c>
      <c r="D46" s="3" t="str">
        <f t="shared" si="0"/>
        <v>NO</v>
      </c>
    </row>
    <row r="47" spans="1:4" x14ac:dyDescent="0.25">
      <c r="A47" s="46" t="s">
        <v>2042</v>
      </c>
      <c r="B47" s="3">
        <f>IFERROR(VLOOKUP(A47,'Member List'!$B$2:$F$1214,5,FALSE),"None")</f>
        <v>0</v>
      </c>
      <c r="D47" s="3" t="str">
        <f t="shared" si="0"/>
        <v>NO</v>
      </c>
    </row>
    <row r="48" spans="1:4" x14ac:dyDescent="0.25">
      <c r="A48" s="46" t="s">
        <v>2076</v>
      </c>
      <c r="B48" s="3">
        <f>IFERROR(VLOOKUP(A48,'Member List'!$B$2:$F$1214,5,FALSE),"None")</f>
        <v>90</v>
      </c>
      <c r="D48" s="3" t="str">
        <f t="shared" si="0"/>
        <v>NO</v>
      </c>
    </row>
    <row r="49" spans="1:4" x14ac:dyDescent="0.25">
      <c r="A49" s="46" t="s">
        <v>2134</v>
      </c>
      <c r="B49" s="3">
        <f>IFERROR(VLOOKUP(A49,'Member List'!$B$2:$F$1214,5,FALSE),"None")</f>
        <v>0</v>
      </c>
      <c r="D49" s="3" t="str">
        <f t="shared" si="0"/>
        <v>NO</v>
      </c>
    </row>
    <row r="50" spans="1:4" x14ac:dyDescent="0.25">
      <c r="A50" s="46" t="s">
        <v>2142</v>
      </c>
      <c r="B50" s="3">
        <f>IFERROR(VLOOKUP(A50,'Member List'!$B$2:$F$1214,5,FALSE),"None")</f>
        <v>0</v>
      </c>
      <c r="D50" s="3" t="str">
        <f t="shared" si="0"/>
        <v>NO</v>
      </c>
    </row>
    <row r="51" spans="1:4" x14ac:dyDescent="0.25">
      <c r="A51" s="46" t="s">
        <v>2146</v>
      </c>
      <c r="B51" s="3">
        <f>IFERROR(VLOOKUP(A51,'Member List'!$B$2:$F$1214,5,FALSE),"None")</f>
        <v>90</v>
      </c>
      <c r="D51" s="3" t="str">
        <f t="shared" si="0"/>
        <v>NO</v>
      </c>
    </row>
    <row r="52" spans="1:4" x14ac:dyDescent="0.25">
      <c r="A52" s="46" t="s">
        <v>2160</v>
      </c>
      <c r="B52" s="3">
        <f>IFERROR(VLOOKUP(A52,'Member List'!$B$2:$F$1214,5,FALSE),"None")</f>
        <v>0</v>
      </c>
      <c r="D52" s="3" t="str">
        <f t="shared" si="0"/>
        <v>NO</v>
      </c>
    </row>
    <row r="53" spans="1:4" x14ac:dyDescent="0.25">
      <c r="A53" s="46" t="s">
        <v>2182</v>
      </c>
      <c r="B53" s="3">
        <f>IFERROR(VLOOKUP(A53,'Member List'!$B$2:$F$1214,5,FALSE),"None")</f>
        <v>90</v>
      </c>
      <c r="D53" s="3" t="str">
        <f t="shared" si="0"/>
        <v>NO</v>
      </c>
    </row>
    <row r="54" spans="1:4" x14ac:dyDescent="0.25">
      <c r="A54" s="46" t="s">
        <v>2202</v>
      </c>
      <c r="B54" s="3">
        <f>IFERROR(VLOOKUP(A54,'Member List'!$B$2:$F$1214,5,FALSE),"None")</f>
        <v>0</v>
      </c>
      <c r="D54" s="3" t="str">
        <f t="shared" si="0"/>
        <v>NO</v>
      </c>
    </row>
    <row r="55" spans="1:4" x14ac:dyDescent="0.25">
      <c r="A55" s="46" t="s">
        <v>2250</v>
      </c>
      <c r="B55" s="3">
        <f>IFERROR(VLOOKUP(A55,'Member List'!$B$2:$F$1214,5,FALSE),"None")</f>
        <v>0</v>
      </c>
      <c r="D55" s="3" t="str">
        <f t="shared" si="0"/>
        <v>NO</v>
      </c>
    </row>
    <row r="56" spans="1:4" x14ac:dyDescent="0.25">
      <c r="A56" s="46" t="s">
        <v>3593</v>
      </c>
      <c r="B56" s="3" t="str">
        <f>IFERROR(VLOOKUP(A56,'Member List'!$B$2:$F$1214,5,FALSE),"None")</f>
        <v>None</v>
      </c>
      <c r="D56" s="3" t="str">
        <f t="shared" si="0"/>
        <v>NO</v>
      </c>
    </row>
    <row r="57" spans="1:4" x14ac:dyDescent="0.25">
      <c r="A57" s="46" t="s">
        <v>2276</v>
      </c>
      <c r="B57" s="3">
        <f>IFERROR(VLOOKUP(A57,'Member List'!$B$2:$F$1214,5,FALSE),"None")</f>
        <v>0</v>
      </c>
      <c r="D57" s="3" t="str">
        <f t="shared" si="0"/>
        <v>NO</v>
      </c>
    </row>
    <row r="58" spans="1:4" x14ac:dyDescent="0.25">
      <c r="A58" s="46" t="s">
        <v>2304</v>
      </c>
      <c r="B58" s="3">
        <f>IFERROR(VLOOKUP(A58,'Member List'!$B$2:$F$1214,5,FALSE),"None")</f>
        <v>0</v>
      </c>
      <c r="D58" s="3" t="str">
        <f t="shared" si="0"/>
        <v>NO</v>
      </c>
    </row>
    <row r="59" spans="1:4" x14ac:dyDescent="0.25">
      <c r="A59" s="46" t="s">
        <v>1461</v>
      </c>
      <c r="B59" s="3">
        <f>IFERROR(VLOOKUP(A59,'Member List'!$B$2:$F$1214,5,FALSE),"None")</f>
        <v>0</v>
      </c>
      <c r="D59" s="3" t="str">
        <f t="shared" si="0"/>
        <v>NO</v>
      </c>
    </row>
  </sheetData>
  <conditionalFormatting sqref="D1:D1048576">
    <cfRule type="containsText" dxfId="0" priority="1" operator="containsText" text="YES">
      <formula>NOT(ISERROR(SEARCH("YES",D1)))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EA2F4E9-CEDD-4BD5-AC2B-4A9DF7AE93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 Summary</vt:lpstr>
      <vt:lpstr>Member List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2023-03-24T15:10:57Z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